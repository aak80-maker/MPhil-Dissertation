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alexandrakassinis/Desktop/Cambridge 2.0/Dissertation Papers/"/>
    </mc:Choice>
  </mc:AlternateContent>
  <xr:revisionPtr revIDLastSave="0" documentId="13_ncr:1_{5BF6882B-B4EA-B448-93F9-0C11E99C420A}" xr6:coauthVersionLast="47" xr6:coauthVersionMax="47" xr10:uidLastSave="{00000000-0000-0000-0000-000000000000}"/>
  <bookViews>
    <workbookView xWindow="2960" yWindow="660" windowWidth="26440" windowHeight="18980" activeTab="5" xr2:uid="{16B168B8-0145-2F4E-8836-A78765E765CC}"/>
  </bookViews>
  <sheets>
    <sheet name="IDRECCO and VCS Indices" sheetId="4" r:id="rId1"/>
    <sheet name="IDRECCO Names" sheetId="8" r:id="rId2"/>
    <sheet name="Forest Loss Data - Tang et al." sheetId="11" r:id="rId3"/>
    <sheet name="ID-RECCO Information" sheetId="3" r:id="rId4"/>
    <sheet name="VCS Methodology" sheetId="12" r:id="rId5"/>
    <sheet name="Partner information" sheetId="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3" i="11" l="1"/>
  <c r="G53" i="11"/>
  <c r="J52" i="11"/>
  <c r="G52" i="11"/>
  <c r="J51" i="11"/>
  <c r="G51" i="11"/>
  <c r="J49" i="11"/>
  <c r="G49" i="11"/>
  <c r="J48" i="11"/>
  <c r="G48" i="11"/>
  <c r="J47" i="11"/>
  <c r="G47" i="11"/>
  <c r="J46" i="11"/>
  <c r="G46" i="11"/>
  <c r="J45" i="11"/>
  <c r="G45" i="11"/>
  <c r="J44" i="11"/>
  <c r="G44" i="11"/>
  <c r="J43" i="11"/>
  <c r="G43" i="11"/>
  <c r="J42" i="11"/>
  <c r="G42" i="11"/>
  <c r="J41" i="11"/>
  <c r="G41" i="11"/>
  <c r="J40" i="11"/>
  <c r="G40" i="11"/>
  <c r="J39" i="11"/>
  <c r="G39" i="11"/>
  <c r="J37" i="11"/>
  <c r="G37" i="11"/>
  <c r="J36" i="11"/>
  <c r="G36" i="11"/>
  <c r="J35" i="11"/>
  <c r="G35" i="11"/>
  <c r="J34" i="11"/>
  <c r="G34" i="11"/>
  <c r="J33" i="11"/>
  <c r="G33" i="11"/>
  <c r="J32" i="11"/>
  <c r="G32" i="11"/>
  <c r="J31" i="11"/>
  <c r="G31" i="11"/>
  <c r="J30" i="11"/>
  <c r="G30" i="11"/>
  <c r="J29" i="11"/>
  <c r="G29" i="11"/>
  <c r="J28" i="11"/>
  <c r="G28" i="11"/>
  <c r="J27" i="11"/>
  <c r="G27" i="11"/>
  <c r="J26" i="11"/>
  <c r="G26" i="11"/>
  <c r="J25" i="11"/>
  <c r="G25" i="11"/>
  <c r="J24" i="11"/>
  <c r="G24" i="11"/>
  <c r="J23" i="11"/>
  <c r="G23" i="11"/>
  <c r="J21" i="11"/>
  <c r="G21" i="11"/>
  <c r="J19" i="11"/>
  <c r="G19" i="11"/>
  <c r="J18" i="11"/>
  <c r="G18" i="11"/>
  <c r="J15" i="11"/>
  <c r="G15" i="11"/>
  <c r="J14" i="11"/>
  <c r="G14" i="11"/>
  <c r="J13" i="11"/>
  <c r="G13" i="11"/>
  <c r="J12" i="11"/>
  <c r="G12" i="11"/>
  <c r="J11" i="11"/>
  <c r="G11" i="11"/>
  <c r="J10" i="11"/>
  <c r="G10" i="11"/>
  <c r="J9" i="11"/>
  <c r="G9" i="11"/>
  <c r="J8" i="11"/>
  <c r="G8" i="11"/>
  <c r="J7" i="11"/>
  <c r="G7" i="11"/>
  <c r="J6" i="11"/>
  <c r="G6" i="11"/>
  <c r="J3" i="11"/>
  <c r="G3" i="11"/>
  <c r="J2" i="11"/>
  <c r="G2" i="11"/>
  <c r="AS57" i="3"/>
  <c r="AS56" i="3"/>
</calcChain>
</file>

<file path=xl/sharedStrings.xml><?xml version="1.0" encoding="utf-8"?>
<sst xmlns="http://schemas.openxmlformats.org/spreadsheetml/2006/main" count="6520" uniqueCount="1626">
  <si>
    <t>Tang et al./VCS (Verra) ID Number</t>
  </si>
  <si>
    <t>ID-RECCO ID Number</t>
  </si>
  <si>
    <t>Country</t>
  </si>
  <si>
    <t>Brazil</t>
  </si>
  <si>
    <t>Colombia</t>
  </si>
  <si>
    <t>Peru</t>
  </si>
  <si>
    <t>2510-1</t>
  </si>
  <si>
    <t>Central African Republic</t>
  </si>
  <si>
    <t>Democratic Republic of Congo</t>
  </si>
  <si>
    <t>Madagascar</t>
  </si>
  <si>
    <t>Mozambique</t>
  </si>
  <si>
    <t>Sierra Leone</t>
  </si>
  <si>
    <t>Tanzania</t>
  </si>
  <si>
    <t>Zambia</t>
  </si>
  <si>
    <t>Cambodia</t>
  </si>
  <si>
    <t>Laos</t>
  </si>
  <si>
    <t>Name of Project</t>
  </si>
  <si>
    <t>Florestal Santa Maria Project</t>
  </si>
  <si>
    <t>The Purus Project</t>
  </si>
  <si>
    <t>RMDLT Portel–Pará REDD Project</t>
  </si>
  <si>
    <t>Pacajai REDD+ Project</t>
  </si>
  <si>
    <t>The Russas Project</t>
  </si>
  <si>
    <t>The Valparaiso Project</t>
  </si>
  <si>
    <t>Jari/Amapá REDD+ Project</t>
  </si>
  <si>
    <t>Suruí Forest Carbon Project</t>
  </si>
  <si>
    <t>Maísa REDD+ Project</t>
  </si>
  <si>
    <t>REDD+ Resex Rio Preto–Jacundá Project</t>
  </si>
  <si>
    <t>Manoa REDD+ Project</t>
  </si>
  <si>
    <t>Fortaleza Ituxi REDD Project</t>
  </si>
  <si>
    <t>Agrocortex REDD Project</t>
  </si>
  <si>
    <t>Rio Anapu-Pacaja REDD Project</t>
  </si>
  <si>
    <t>Yellow Ipê Grouped REDD Project</t>
  </si>
  <si>
    <t>Unitor REDD+ Project</t>
  </si>
  <si>
    <t>Evergreen REDD+ Project</t>
  </si>
  <si>
    <t>ABC Norte REDD Project</t>
  </si>
  <si>
    <t>The Serra do Amolar REDD+ Project</t>
  </si>
  <si>
    <t>The Chocó–Darién Conservation Corridor REDD Project</t>
  </si>
  <si>
    <t>Acapa – Bajo Mira y Frontera REDD+ Project</t>
  </si>
  <si>
    <t>Carmen del Darién (CDD) REDD+ Project</t>
  </si>
  <si>
    <t>Sivirú–Usaragá–Pizarro–Pilizá (SUPP) REDD+ Project</t>
  </si>
  <si>
    <t>Cajambre REDD+ Project</t>
  </si>
  <si>
    <t>Bajo Calima y Bahía Málaga (BCBM) REDD+ Project</t>
  </si>
  <si>
    <t>Rio Pepe y ACABA REDD+ Project</t>
  </si>
  <si>
    <t>Mutatá REDD+ Project</t>
  </si>
  <si>
    <t>Conscosta REDD+ Project</t>
  </si>
  <si>
    <t>Condoto REDD+ Project</t>
  </si>
  <si>
    <t>Madre de Dios Amazon REDD+ Project</t>
  </si>
  <si>
    <t>Alto Mayo Conservation Initiative</t>
  </si>
  <si>
    <t>Biocorredor Martin Sagrado REDD+ Project</t>
  </si>
  <si>
    <t>Cordillera Azul National Park REDD Project</t>
  </si>
  <si>
    <t>REDD+ Project in the Alto Huayabamba Conservation Concession (CCAH)</t>
  </si>
  <si>
    <t>The Jaguar Amazon REDD+ Project</t>
  </si>
  <si>
    <t>Tahuamanu Amazon REDD Project</t>
  </si>
  <si>
    <t>Chinko Conservation Area REDD+ Project</t>
  </si>
  <si>
    <t>The Mai Ndombe REDD+ Project</t>
  </si>
  <si>
    <t>Carbon Emissions Reduction Project in the Corridor Ankeniheny–Zahamena (CAZ)</t>
  </si>
  <si>
    <t>Gilé National Reserve REDD Project</t>
  </si>
  <si>
    <t>Gola REDD Project</t>
  </si>
  <si>
    <t>Ntakata Mountains REDD Project</t>
  </si>
  <si>
    <t>Lower Zambezi REDD+ Project</t>
  </si>
  <si>
    <t>Luangwa Community Forests Project</t>
  </si>
  <si>
    <t>Reducing Emissions from Deforestation and Carbon Enhancement in Xe Pian National Protected Area</t>
  </si>
  <si>
    <t>Reduced Emissions from Deforestation and Degradation in Keo Seima Wildlife Sanctuary</t>
  </si>
  <si>
    <t>Reduced Emissions from Deforestation and Degradation in Community Forests -- Oddar Meanchey, Cambodia</t>
  </si>
  <si>
    <t>Forest Management to Mitigate Climate Change in Native Community of Bélgica, Madre de Dios Region -- Peru</t>
  </si>
  <si>
    <t>Forest Management to reduce deforestation and degradation in Shipibo Conibo and Cacataibo Indigenous communities of Ucayali region</t>
  </si>
  <si>
    <t>Evio Kuiñaji Ese´Eja Cuana, To Mitigate Climate Change, Madre de Dios - Perú</t>
  </si>
  <si>
    <t>Reduction of deforestation and degradation in Tambopata National Reserve and Bahuaja- Sonene National Park within the area of Madre de Dios region –Peru</t>
  </si>
  <si>
    <t>REDD+ Project Resguardo Indígena Unificado Selva de Matavén (RIU SM)</t>
  </si>
  <si>
    <t>Orange Color Number = more than one unit (see table S5)</t>
  </si>
  <si>
    <t>Ongoing</t>
  </si>
  <si>
    <t>Florestal Santa Maria project</t>
  </si>
  <si>
    <t>FSM-REDD PROJECT</t>
  </si>
  <si>
    <t>ND</t>
  </si>
  <si>
    <t>2039</t>
  </si>
  <si>
    <t>The FSM-REDD Project was conceived to give the opportunity for this forest management company to take full advantage of the REDD regulatory system under development by means of the VCS System.</t>
  </si>
  <si>
    <t>timber production</t>
  </si>
  <si>
    <t>social development</t>
  </si>
  <si>
    <t>biodiversity conservation</t>
  </si>
  <si>
    <t>fire, illegal logging, industrial agriculture or cattle ranching, local livelihoods, slash and burn agriculture</t>
  </si>
  <si>
    <t>humid</t>
  </si>
  <si>
    <t>IFM|REDD</t>
  </si>
  <si>
    <t>REDD</t>
  </si>
  <si>
    <t>NA</t>
  </si>
  <si>
    <t>no</t>
  </si>
  <si>
    <t>yes</t>
  </si>
  <si>
    <t>Colniza Municipality, Mato Grosso. Coordinates are approx. center of plot</t>
  </si>
  <si>
    <t>state</t>
  </si>
  <si>
    <t>private</t>
  </si>
  <si>
    <t>good data</t>
  </si>
  <si>
    <t>-059.264904</t>
  </si>
  <si>
    <t>-009.096279</t>
  </si>
  <si>
    <t>No</t>
  </si>
  <si>
    <t>South America</t>
  </si>
  <si>
    <t>State : Mato Grosso</t>
  </si>
  <si>
    <t>Municipality : Colniza</t>
  </si>
  <si>
    <t>2009-2039</t>
  </si>
  <si>
    <t>Above ground biomass | Below ground biomass | Dead wood | Litter | Soil organic carbon</t>
  </si>
  <si>
    <t>Common practice analysis</t>
  </si>
  <si>
    <t>VCS</t>
  </si>
  <si>
    <t>certified</t>
  </si>
  <si>
    <t>https://registry.verra.org/mymodule/ProjectDoc/Project_ViewFile.asp?FileID=34261&amp;IDKEY=k98klasmf8jflkasf8098afnasfkj98f0a9sfsakjflsakjf8dj47245919</t>
  </si>
  <si>
    <t>none</t>
  </si>
  <si>
    <t>https://vcsprojectdatabase2.apx.com/myModule/Interactive.asp?Tab=Projects&amp;a=2&amp;i=875&amp;lat=-8.999312&amp;lon=-59.426658 (not accessible as of September 2020);
http://www.rainforest-alliance.org/climate/projects/santamaria-project (not accessible as of September 2020);
http://www.florestalsantamaria.com.br/site/en/documentacao.php?id=5</t>
  </si>
  <si>
    <t>Yes</t>
  </si>
  <si>
    <t>Conditional</t>
  </si>
  <si>
    <t>payment for environmental services</t>
  </si>
  <si>
    <t>y</t>
  </si>
  <si>
    <t>technical forestry schools targeting education of local youngsters |  workshop about climate change</t>
  </si>
  <si>
    <t>processing and commercialization</t>
  </si>
  <si>
    <t>new sources of income, generation of jobs linked to the forest management, new demand for products originated within the boundaries of the project</t>
  </si>
  <si>
    <t>workshop about climate change</t>
  </si>
  <si>
    <t>Check</t>
  </si>
  <si>
    <t>RMDLT Portel - Pará REDD Project</t>
  </si>
  <si>
    <t>Brazilian Rosewood Amazon Conservation REDD+ project; RMDLT Portel-Pará REDD Project</t>
  </si>
  <si>
    <t>2048</t>
  </si>
  <si>
    <t>The Project’s main objective is to avoid and prevent unplanned deforestation in native forests thus avoiding the net emission of 39,149,842.0 tCO2e through a period of 40 years of Project’s lifetime. Such objective will be achieved by managing the land in the form of a “private conservation reserve” by developing and implementing a management plan. Such plan will include a rigorous monitoring and enforcement plan built up on the existing
experience of on going surveillance activities in the area since 2008. The scaled-up monitoring activities will actively count with the participation of local villagers that will be trained in forest management and monitoring techniques. The medium term goal is to allow forest regeneration thus increasing the amount of carbon sequestered in the forest.</t>
  </si>
  <si>
    <t>climate</t>
  </si>
  <si>
    <t>participatory forest management</t>
  </si>
  <si>
    <t>industrial agriculture or cattle ranching, infrastructure, slash and burn agriculture</t>
  </si>
  <si>
    <t>Portel municipality, Para. Coordinates at approx center of cluster of projects according to KML file</t>
  </si>
  <si>
    <t>private and communities</t>
  </si>
  <si>
    <t>-051.062000</t>
  </si>
  <si>
    <t>-002.737000</t>
  </si>
  <si>
    <t>State : Pará</t>
  </si>
  <si>
    <t>Municipality : Portel</t>
  </si>
  <si>
    <t>https://vcsprojectdatabase2.apx.com/myModule/ProjectDoc/Project_ViewFile.asp?FileID=11676&amp;IDKEY=8q934lkmsad39asjdkfj90qlkalsdkngaf98ulkandDfdvDdfhs16101204 (not accessible as of September 2020);
http://www.climate-standards.org/2012/07/02/rmdlt-portel-para-redd-project/;
https://registry.verra.org/app/projectDetail/VCS/977</t>
  </si>
  <si>
    <t>Non-conditional</t>
  </si>
  <si>
    <t>villagers will have the opportunity to work in paid monitoring positions in a rotational basis in order to give an opportunity to all the members of the community that wish to participate.</t>
  </si>
  <si>
    <t>n</t>
  </si>
  <si>
    <t>free training in methodologies and procedures to monitor the Project Area |  Providing capacity building in agroforestry techniques and implement agroforestry pilots |  economic support to train and to build such efficient cook stoves |  capacity to develop small business with non timber activities</t>
  </si>
  <si>
    <t>agroforestry | microenterprise</t>
  </si>
  <si>
    <t>Providing capacity building in agroforestry techniques and implement agroforestry pilots |  economic support to train and to build such efficient cook stoves |  capacity to develop small business with non timber activities</t>
  </si>
  <si>
    <t>The Project, in agreement with the landowner, will provide land tenure rights versus conservation results to villagers living within the Project's Boundaries but outside the Project Area. To those living outside the Project Boundary in neighbor villages, the Project will provide knowledge to legally claim and secure land titles on unused public land.</t>
  </si>
  <si>
    <t xml:space="preserve">Promote environment education in all school levels and public awareness of the need to preserve the environment | </t>
  </si>
  <si>
    <t>The Purus Project- A Tropical Forest Conservation Project in Acre, Brazil</t>
  </si>
  <si>
    <t>2041</t>
  </si>
  <si>
    <t>The Purus Project seeks to help protect and conserve tropical forest by providing payments for ecosystem services. The Purus Project will mitigate deforestation pressures using a combination of contractual obligations, environmental programs, and social programs intended to improve the livelihoods of community members living in the vicinity of the project area.</t>
  </si>
  <si>
    <t>development, social development</t>
  </si>
  <si>
    <t>fire, local livelihoods, slash and burn agriculture</t>
  </si>
  <si>
    <t>ARR|REDD</t>
  </si>
  <si>
    <t>The Purus Project area is located in Acre, Brazil along the banks of the Purus River about 20 kilometers southwest of Manoel Urbana. Coordinates approx center of project location according to KML</t>
  </si>
  <si>
    <t>-069.444000</t>
  </si>
  <si>
    <t>-009.044000</t>
  </si>
  <si>
    <t>State : Acre</t>
  </si>
  <si>
    <t>Municipality : Manoel Urbana</t>
  </si>
  <si>
    <t>2011 - 2041</t>
  </si>
  <si>
    <t>2018-2020</t>
  </si>
  <si>
    <t>Above ground biomass | Below ground biomass</t>
  </si>
  <si>
    <t>CH4 | CO2 | N2O</t>
  </si>
  <si>
    <t>Investment analysis</t>
  </si>
  <si>
    <t>CCB</t>
  </si>
  <si>
    <t>on process</t>
  </si>
  <si>
    <t>https://registry.verra.org/app/projectDetail/CCB/963</t>
  </si>
  <si>
    <t>Registered</t>
  </si>
  <si>
    <t>https://registry.verra.org/mymodule/ProjectDoc/Project_ViewFile.asp?FileID=68626&amp;IDKEY=alksjoiuwqowrnoiuomnckjashoufifmln902309ksdflku098o94635254</t>
  </si>
  <si>
    <t>https://vcsprojectdatabase2.apx.com/myModule/Interactive.asp?Tab=Projects&amp;a=2&amp;i=963&amp;lat=-8%2E994141&amp;lon=-69%2E451007&amp;bp=1 (not accessible as of September 2020);
https://vcsprojectdatabase2.apx.com/myModule/ProjectDoc/Project_ViewFile.asp?FileID=11441&amp;IDKEY=aq934lkmsad39asjdkfj90qlkalsdkngaf98ulkandDfdvDdfhk15777139 (not accessible as of September 2020);
http://carbonfund.org/reforestation-and-avoided-deforestation/item/2743-purus-protection-tropical-rainforest-biodiversity-conservation-project (not accessible as of September 2020);
http://www.ecosystemmarketplace.com/pages/dynamic/article.page.php?page_id=9564&amp;section=news_articles&amp;eod=1
http://www.climate-standards.org/2012/10/20/the-purus-project-a-tropical-forest-conservation-project-in-acre-brazil/;
https://registry.verra.org/app/projectDetail/VCS/963</t>
  </si>
  <si>
    <t>After 5 years, the revenue from carbon will be shared with the communities who voluntarily joined the project and avoided deforestation on 100ha. Other criteria : Children must attend school, preserve forests outside, no burning, training participation</t>
  </si>
  <si>
    <t>Community outreach and education |  Agricultural extension training |  Social Assistance</t>
  </si>
  <si>
    <t>ecotourism</t>
  </si>
  <si>
    <t xml:space="preserve">Potential employment as project forest guard or other project staff |  small ecoutrism activity | </t>
  </si>
  <si>
    <t>Help Communities Obtain Land Rights / Delineate Family Areas</t>
  </si>
  <si>
    <t>the Purus Project will incorporate environmental education.</t>
  </si>
  <si>
    <t>Initiate Forest Patrols of Deforestation</t>
  </si>
  <si>
    <t>Reforestation Activities of Areas of Permanent Preserve near Purus River</t>
  </si>
  <si>
    <t>Moura &amp; Rosa will build a local primary school |  plan to build a health center and houses for people joining the project</t>
  </si>
  <si>
    <t>plan to build a health center for people joining the project |  Improve School and Create a School Bus Boat</t>
  </si>
  <si>
    <t>TBC</t>
  </si>
  <si>
    <t>Suruí Forest Carbon Project (SFCP)</t>
  </si>
  <si>
    <t>Suruí REDD+ Project</t>
  </si>
  <si>
    <t>2038</t>
  </si>
  <si>
    <t>The Surui Carbon Project intends to fund protection, territorial control and local capacity building activities through payments for ecosystem services, especially the marketing of carbon credits, which emerged as a promising new alternative</t>
  </si>
  <si>
    <t>illegal logging, industrial agriculture or cattle ranching, infrastructure, local livelihoods</t>
  </si>
  <si>
    <t>Brazilian Amazon at the border between the states of Rondônia and Mato Grosso, in a region of strong deforestation pressure known as "deforestation arc"</t>
  </si>
  <si>
    <t>communities</t>
  </si>
  <si>
    <t>-061.200000</t>
  </si>
  <si>
    <t>-011.000000</t>
  </si>
  <si>
    <t>States : Rondônia and Mato Grosso</t>
  </si>
  <si>
    <t>Municipality : Cacoal, Espigão D'Oeste and Rondolândia</t>
  </si>
  <si>
    <t>2009-2038</t>
  </si>
  <si>
    <t>expired</t>
  </si>
  <si>
    <t>http://www.vcsprojectdatabase.org/</t>
  </si>
  <si>
    <t>The REDD Desk (no longer accessible as of september, 2014):
http://www.theredddesk.org/resources/reports/free_prior_and_informed_consent_surui_carbon_project;
http://www.theredddesk.org/countries/brazil/info/activity/surui_redd_project;
http://www.forest-trends.org/documents/files/doc_2599.pdf;
https://s3.amazonaws.com/CCBA/Projects/Surui_Forest_Carbon_project/PCFS_PDD_portugues_V1.pdf;
http://www.ecosystemmarketplace.com/pages/dynamic/article.page.php?page_id=7611&amp;section=home;
http://moderncms.ecosystemmarketplace.com/repository/moderncms_documents/Casebook%20of%20REDD%20Projects%20in%20LA.pdf;
https://vcsprojectdatabase2.apx.com/myModule/Interactive.asp?Tab=Projects&amp;a=2&amp;i=1118&amp;lat=-11.24849&amp;lon=-61.149548&amp;bp=1;
http://www.heraldonline.com/2013/09/10/5194176/amazonian-people-and-cosmetics.html (the article does no longer appear);</t>
  </si>
  <si>
    <t>Payment for Environmental Services</t>
  </si>
  <si>
    <t>training and technical assistance, as well as structuring and marketing of local products.</t>
  </si>
  <si>
    <t>agroforestry | ecotourism | plantation forestry | tree planting</t>
  </si>
  <si>
    <t xml:space="preserve">viable economic alternatives based on sustainable Finance from credits will be invested in agroforestry systems in combination with other complimentary options for income generation |  direct and indirect employments | </t>
  </si>
  <si>
    <t>promotion of Indigenous Lands in Ethnodevelopment</t>
  </si>
  <si>
    <t>Environmental education interventions not mentioned</t>
  </si>
  <si>
    <t>Avoid deforestation</t>
  </si>
  <si>
    <t>Forest enhancement activities not mentioned</t>
  </si>
  <si>
    <t>health improvement, education and traditional medicine</t>
  </si>
  <si>
    <t>Jari/Amapá REDD+ project</t>
  </si>
  <si>
    <t/>
  </si>
  <si>
    <t>The Jari/Amapá REDD + Project are a partnership between Biofílica, Jari Florestal, Jari Celulose and the Fundação Jari, both belonging to the Grupo Jari. It is located in the Jari Valley, in the municipalities of Laranjal do Jari and Vitória do Jari, in the State of Amapá, a region that plays a very important role as home to more than two thousand rural families and as an ecological corridor linking several Conservation Units . With a protected area of 65,980 hectares of forest, the project harbours a very rich biodiversity, with species of extreme ecological and social importance, besides the important rivers that pass through the region. Despite the social and environmental importance of the Jari Valley, this region is constantly threatened by agriculture and livestock activities, human settlements and major infrastructure works that cause deforestation and degradation in the region. The Jari Amapá Project promotes forest conservation and reduction of potential greenhouse gas (GHG) emissions based on a model of local economic development that values the "standing forest" through a mosaic of activities to protect, monitor, supporting research in area, and including local communities in the actions.</t>
  </si>
  <si>
    <t>cattle grazing, illegal logging, infrastructure, local livelihoods, population increase, Transient agriculture</t>
  </si>
  <si>
    <t>Santo Antonio da Cachoeira and Porto Salvo</t>
  </si>
  <si>
    <t>100%</t>
  </si>
  <si>
    <t>Valley of Jari, in the municipalities of Laranjal do Jari and Vitória
do Jari, south of the state of Amapá, on the left margin of the Jari River on the border of the state of
Pará, north of Brazil.</t>
  </si>
  <si>
    <t>few data or bad quality</t>
  </si>
  <si>
    <t>-052.500000</t>
  </si>
  <si>
    <t>-000.500000</t>
  </si>
  <si>
    <t>State : Amapá</t>
  </si>
  <si>
    <t>Municipality : Laranjal do Jari and Vitória</t>
  </si>
  <si>
    <t>2011-2041</t>
  </si>
  <si>
    <t>2011-2040</t>
  </si>
  <si>
    <t>https://registry.verra.org/mymodule/ProjectDoc/Project_ViewFile.asp?FileID=42571&amp;IDKEY=l097809fdslkjf09rndasfufd098asodfjlkduf09nm23mrn87058705409</t>
  </si>
  <si>
    <t>https://registry.verra.org/mymodule/ProjectDoc/Project_ViewFile.asp?FileID=42572&amp;IDKEY=k0e98hfalksuf098fnsdalfkjfoijmn4309JLKJFjlaksjfla9j58706788</t>
  </si>
  <si>
    <t>http://www.biofilica.com.br/web/index.php?lang=en;
http://www.forestcarbonportal.com/project/jari-amap%C3%A1;
http://sustainabletravel.org/project/jari-amapa-redd/;
Book "REDD+ on the ground" (CIFOR) chapter 5.;
https://registry.verra.org/app/projectDetail/VCS/1115
Project PDD:
https://registry.verra.org/app/projectDetail/VCS/1115</t>
  </si>
  <si>
    <t>The project provide income generation through employment</t>
  </si>
  <si>
    <t>20-50</t>
  </si>
  <si>
    <t xml:space="preserve">Occasional rural technical assistance  |  Field Day training course (on alternative techniques for cassava planting and açai production)  |  Course on açaÃ­ seedling production and construction of a community nursery |  Elaboration of household diagnosis and property management plans  |  Participatory Organizational Diagnosis (DOP) of Communities  | </t>
  </si>
  <si>
    <t>agriculture | agroforestry | other | processing and commercialization</t>
  </si>
  <si>
    <t>Access to technical assistance and rural extension services, access to technical workshops and trainings in agroforestry and agricultural techniques, increase of productivity and rural production, reduction of poverty, increase of consumer power, increase of food security and health, increased social welfare, creating new opportunities for direct communication with other stakeholders, increase of knowledge and skills in agroforestry, agriculture and REDD+, access to advanced production technologies, soil analysis, fertilizers, genetic material and other selected seeds, among others.</t>
  </si>
  <si>
    <t>Quarterly REDD+ Thematic Chamber meetings</t>
  </si>
  <si>
    <t>Monitoring of deforestation and land ocupation in the project area</t>
  </si>
  <si>
    <t>Increase of social welfare: access to information |  increase of consumer power |  increase of food security and health |  reduction of poverty |  more opportunities of credit acess (loans) |  improvement in the process of continuing education for community leaders |  decrease in social conflict | increase of self-esteem and trust.</t>
  </si>
  <si>
    <t>2042</t>
  </si>
  <si>
    <t>The Maísa REDD+ Project is a partnership between Biofílica, Fazenda Maísa and Sipasa-Moju to promote forest conservation and reduction of emissions from unplanned deforestation and forest degradation, through the valuation of the "standing forest" by integrating Sustainable Forest Stewardship activities and marketing environmental services. The Project is located in the State of Pará, Brazil, in the Lower Tocantins, and there are eight surrounding communities that are directly or indirectly affected by the project, either by being geographically downstream of the Project Area or providing manpower to Fazenda Maísa, with no communities residing within the Project Area or depending on its natural resources. Within a context of relevance for the Biodiversity, the Project Zone  is in the midst of Belém's Center of Endemism, one of the eight Amazonian centers of endemism and the most degraded of all, with 76.4% of its forest cover compromised. A flora survey conducted identified a total of 128 tree species in the Project Area, and among these species, 8 are listed as endangered species at national and state level. As for fauna, a survey was conducted and at least 29 of the species identified are at some level and threat of extinction. Despite being in a context of major deforestation pressures and within a region of considerable historical degradation, the Maísa REDD+ Project has incredible potential to set up a regional model to be followed, demonstrating that sustainable practices and businesses implemented based on maintaining the "standing forest" can be economically feasible and still generate numerous benefits to the local biodiversity and socioeconomics.</t>
  </si>
  <si>
    <t>cattle grazing, illegal logging, industrial agriculture or cattle ranching, local livelihoods</t>
  </si>
  <si>
    <t>municipality of Moju, State of Pará. Surrounded by the municipalities: Baião, Mocajuba, Tailândia, Goianésia and Breu Branco, in the Lower Tocantins, between the Tocantins and
Moju Rivers.</t>
  </si>
  <si>
    <t>-049.416667</t>
  </si>
  <si>
    <t>-003.250000</t>
  </si>
  <si>
    <t>Municipality : Moju</t>
  </si>
  <si>
    <t>2012-2041</t>
  </si>
  <si>
    <t>Above ground biomass | Below ground biomass | Other</t>
  </si>
  <si>
    <t>Above ground non-tree biomass</t>
  </si>
  <si>
    <t>CO2</t>
  </si>
  <si>
    <t>Barrier analysis | Common practice analysis | Investment analysis</t>
  </si>
  <si>
    <t>https://registry.verra.org/mymodule/ProjectDoc/Project_ViewFile.asp?FileID=45543&amp;IDKEY=sq934lkmsad39asjdkfj90qlkalsdkngaf98ulkandDfdvDdfhq62803797</t>
  </si>
  <si>
    <t>http://www.biofilica.com.br/web/index.php?lang=en;
http://mer.markit.com/br-reg/public/project.jsp?project_id=103000000006590;
http://www.climate-standards.org/2014/04/30/maisa-redd-project/;
https://registry.verra.org/app/projectDetail/VCS/1329;
http://www.climate-standards.org/2014/04/30/maisa-redd-project/</t>
  </si>
  <si>
    <t>rural technical assistance, as well as training to increased productivity, greater efficiency of production systems and implementation of more sustainable techniques and production technologies.</t>
  </si>
  <si>
    <t>communitiesOpportunity to develop business chains through rural technical assistance, as well as training, research and market access facilitation are key to increased productivity, greater efficiency of production systems and implementation of more sustainable techniques and production technologies. For enhancing the efficiency of Sustainable Forest Stewardship operations will be used an Action Plan for Continued Management Improvement to be enforced throughout the project, allowing the Fazenda Maísa's Sustainable Forest Stewardship to further obtain more robust certification standards. The value chains of non-timber products (like açaÃ­ polpe, Andiroba and Copaiba oils, and seeds of forest species) will be evaluated and, if deemed feasible and sustainable, they will be developed</t>
  </si>
  <si>
    <t>Avoid deforestation activities by protecting standing forest |  there is a certain control and a land monitoring team aimed at containing unplanned deforestation driven by squatters and illegal loggers,</t>
  </si>
  <si>
    <t xml:space="preserve">Ongoing </t>
  </si>
  <si>
    <t>Resex Rio Preto-Jacundá REDD+ Project</t>
  </si>
  <si>
    <t>The project aims to promote the sustainability of the community through reduction of degradation and deforestation, land tenure and land surveillance, sustainable forest management, social development and protection of extractivist culture, promotion of scientific research on local biodiversity.</t>
  </si>
  <si>
    <t>cattle grazing, illegal logging, Transient agriculture</t>
  </si>
  <si>
    <t>Rio Preto Jacundá Extractive Reserve</t>
  </si>
  <si>
    <t>Brazil, Estate of Rondônia, Municipality of Machadinho d’Oeste and Cujubim. Coordinates approx. center of plot according to PDD</t>
  </si>
  <si>
    <t>-062.250000</t>
  </si>
  <si>
    <t>-008.916667</t>
  </si>
  <si>
    <t>State : Rondônia</t>
  </si>
  <si>
    <t>Municipality : Machadinho d’Oeste and Cujubim</t>
  </si>
  <si>
    <t>2012-2042</t>
  </si>
  <si>
    <t>Below ground biomass | Other</t>
  </si>
  <si>
    <t>Above Ground tree biomass</t>
  </si>
  <si>
    <t>Other</t>
  </si>
  <si>
    <t>None of the gases selected</t>
  </si>
  <si>
    <t>Barrier analysis | Common practice analysis</t>
  </si>
  <si>
    <t>https://registry.verra.org/mymodule/ProjectDoc/Project_ViewFile.asp?FileID=42143&amp;IDKEY=niofj09234rm9oq4jndsma80vcalksdjf98cxkjaf90823nmq3f58115197</t>
  </si>
  <si>
    <t>http://www.climate-standards.org/2015/10/20/resex-rio-preto-jacunda-redd-project/</t>
  </si>
  <si>
    <t>http://www.biofilica.com.br/web/index.php?lang=en;
https://www.vcsprojectdatabase.org/#/project_details/1503</t>
  </si>
  <si>
    <t>monthly workshops with the board of Asmorex related to management and finance |  Installation of a processing center for açaÃ­ and bazillian nut</t>
  </si>
  <si>
    <t>Offering training to the residents of the extractive reserve in the areas of extraction and collection of non-timber products, improvement of agricultural techniques and implementation of new production chains in order to meet market demands. In addition, the project intends to carry out a detailed diagnosis regarding the productive potential of the reserve, whether in relation to non-timber products or in relation to agricultural crops.</t>
  </si>
  <si>
    <t>Structuring of internal committees formed by residents in some subjects including land tenure security.</t>
  </si>
  <si>
    <t>workshops and quarterly training for interested residents on the following topics: agroecology, waste disposal and composting</t>
  </si>
  <si>
    <t>avoid deforestation, monitoring deforestation through satellite images, on-the-ground patrolling, strategic physical occupation of territory</t>
  </si>
  <si>
    <t>Improvement of sanitary conditions in houses of families living in Resex</t>
  </si>
  <si>
    <t xml:space="preserve">Implementation of an educational center for youth and adults, acquisition computer equipment, facilitation of access to courses and distance learning |  Training of at least one health worker per community, providing courses on hygiene, health and family planning for at least 20 families | </t>
  </si>
  <si>
    <t>id_idrecco</t>
  </si>
  <si>
    <t>Status_2022</t>
  </si>
  <si>
    <t>project_name</t>
  </si>
  <si>
    <t>secondary_name</t>
  </si>
  <si>
    <t>country name</t>
  </si>
  <si>
    <t>last_full_update_yr</t>
  </si>
  <si>
    <t>area</t>
  </si>
  <si>
    <t>starting_year</t>
  </si>
  <si>
    <t>ending_year</t>
  </si>
  <si>
    <t>duration</t>
  </si>
  <si>
    <t>project_description</t>
  </si>
  <si>
    <t>project_objective1</t>
  </si>
  <si>
    <t>project_objective2</t>
  </si>
  <si>
    <t>project_objective3</t>
  </si>
  <si>
    <t>deforestation_driver</t>
  </si>
  <si>
    <t>forest_type</t>
  </si>
  <si>
    <t>project_type</t>
  </si>
  <si>
    <t>dominant_type</t>
  </si>
  <si>
    <t>precision_ar_type</t>
  </si>
  <si>
    <t>protected_area</t>
  </si>
  <si>
    <t>pa_name</t>
  </si>
  <si>
    <t>pa_size</t>
  </si>
  <si>
    <t>pa_proportion</t>
  </si>
  <si>
    <t>country</t>
  </si>
  <si>
    <t>FPIC</t>
  </si>
  <si>
    <t>participatory_approach</t>
  </si>
  <si>
    <t>location_details</t>
  </si>
  <si>
    <t>legal_tenure</t>
  </si>
  <si>
    <t>customary_use</t>
  </si>
  <si>
    <t>contested</t>
  </si>
  <si>
    <t>carbon_general_ND</t>
  </si>
  <si>
    <t>carbon_credits_ND</t>
  </si>
  <si>
    <t>financing_ND</t>
  </si>
  <si>
    <t>communities_ND</t>
  </si>
  <si>
    <t>Longitude</t>
  </si>
  <si>
    <t>Latitude</t>
  </si>
  <si>
    <t>Multiple locations</t>
  </si>
  <si>
    <t>Region</t>
  </si>
  <si>
    <t>jurisdiction_level1</t>
  </si>
  <si>
    <t>jurisdiction_level2</t>
  </si>
  <si>
    <t>crediting_period</t>
  </si>
  <si>
    <t>er_period_calculation</t>
  </si>
  <si>
    <t>annual_carbon_credits</t>
  </si>
  <si>
    <t>total_carbon_credits</t>
  </si>
  <si>
    <t>emission_reduction_buffer</t>
  </si>
  <si>
    <t>emission_reduction_net</t>
  </si>
  <si>
    <t>emission_reduction_gross</t>
  </si>
  <si>
    <t>emission_leakage</t>
  </si>
  <si>
    <t>other_emission</t>
  </si>
  <si>
    <t>leakage_yesno</t>
  </si>
  <si>
    <t>leakage_belt_perc</t>
  </si>
  <si>
    <t>carbon_pool</t>
  </si>
  <si>
    <t>carbon_pool_other</t>
  </si>
  <si>
    <t>gas_type</t>
  </si>
  <si>
    <t>gas_type_other</t>
  </si>
  <si>
    <t>ref_period_start</t>
  </si>
  <si>
    <t>ref_period_end</t>
  </si>
  <si>
    <t>additionality_analyses</t>
  </si>
  <si>
    <t>standard_1</t>
  </si>
  <si>
    <t>is_certified_1</t>
  </si>
  <si>
    <t>validation_date_1</t>
  </si>
  <si>
    <t>standard_report_1</t>
  </si>
  <si>
    <t>date_expired_1</t>
  </si>
  <si>
    <t>standard_2</t>
  </si>
  <si>
    <t>is_certified_2</t>
  </si>
  <si>
    <t>validation_date_2</t>
  </si>
  <si>
    <t>standard_report_2</t>
  </si>
  <si>
    <t>date_expired_2</t>
  </si>
  <si>
    <t>standard_3</t>
  </si>
  <si>
    <t>is_certified_3</t>
  </si>
  <si>
    <t>validation_date_3</t>
  </si>
  <si>
    <t>standard_report_3</t>
  </si>
  <si>
    <t>date_expired_3</t>
  </si>
  <si>
    <t>source_2020</t>
  </si>
  <si>
    <t>source_2022</t>
  </si>
  <si>
    <t>monetary_benefit_yn</t>
  </si>
  <si>
    <t>monetary_benefit_type</t>
  </si>
  <si>
    <t>monetary_benefit_detail</t>
  </si>
  <si>
    <t>Direct cash (y/n)</t>
  </si>
  <si>
    <t>employment_yn</t>
  </si>
  <si>
    <t>employment_amount</t>
  </si>
  <si>
    <t>non_cash_benefits_yn</t>
  </si>
  <si>
    <t>non_cash_benefits_describe</t>
  </si>
  <si>
    <t>economic_activities_list</t>
  </si>
  <si>
    <t>economic_activities_details</t>
  </si>
  <si>
    <t>tenure_yn</t>
  </si>
  <si>
    <t>tenure_describe</t>
  </si>
  <si>
    <t>education_yn</t>
  </si>
  <si>
    <t>education_describe</t>
  </si>
  <si>
    <t>restriction_yn</t>
  </si>
  <si>
    <t>restriction_describe</t>
  </si>
  <si>
    <t>enhancement_yn</t>
  </si>
  <si>
    <t>enhancement_describe</t>
  </si>
  <si>
    <t>infrastructure_yn</t>
  </si>
  <si>
    <t>infrastructure_describe</t>
  </si>
  <si>
    <t>wellbeing_yn</t>
  </si>
  <si>
    <t>wellbeing_describe</t>
  </si>
  <si>
    <t>2021</t>
  </si>
  <si>
    <t>Activities implemented as part of the project to reduce
deforestation include:
- Community outreach and education;
- Employment of local community members as forest guards or other project staff (to replace other
sources of income associated with deforestation and land use);
- Providing agricultural extension training which will help baseline agents to increase productivity
on current lands (thus reducing the pressure to expand their farms in the adjacent forest);
- Supporting local farmers association;
- Assist communities in obtaining land tenure; and
- Sharing a portion of carbon related revenue for communities living on the Valparaiso property
(replacing other sources of income associated with deforestation and land use).</t>
  </si>
  <si>
    <t>illegal logging, infrastructure, local livelihoods</t>
  </si>
  <si>
    <t>Acre, Brazil along the northern bank of the Valparaiso River. Coordinates set for approx. center of Acre</t>
  </si>
  <si>
    <t>-072.349104</t>
  </si>
  <si>
    <t>-008.107619</t>
  </si>
  <si>
    <t>Municipality : Cruzeiro do Sul</t>
  </si>
  <si>
    <t>2012-2021</t>
  </si>
  <si>
    <t>Above ground biomass | Below ground biomass | Dead wood</t>
  </si>
  <si>
    <t>Common practice analysis | Other</t>
  </si>
  <si>
    <t>https://registry.verra.org/mymodule/ProjectDoc/Project_ViewFile.asp?FileID=35945&amp;IDKEY=a98klasmf8jflkasf8098afnasfkj98f0a9sfsakjflsakjf8dj49568155</t>
  </si>
  <si>
    <t>https://registry.verra.org/mymodule/ProjectDoc/Project_ViewFile.asp?FileID=42570&amp;IDKEY=wlksjoiuwqowrnoiuomnckjashoufifmln902309ksdflku098058704030</t>
  </si>
  <si>
    <t>https://registry.verra.org/app/projectDetail/VCS/1113
http://www.climate-standards.org/2013/07/18/the-valparaiso-project/</t>
  </si>
  <si>
    <t>Communities will receive a small share of payments from carbon revenue</t>
  </si>
  <si>
    <t>Initiate Training and Agricultural Extension Courses for Communities</t>
  </si>
  <si>
    <t>agriculture | other</t>
  </si>
  <si>
    <t>collection of vines and sustainable wood management and employment of local community members as forest guards or other project staff</t>
  </si>
  <si>
    <t>Help Communities Obtain Land Tenure</t>
  </si>
  <si>
    <t>Community outreach and education</t>
  </si>
  <si>
    <t>Initiate Patrols of Deforestation by Boat</t>
  </si>
  <si>
    <t>there will be some reforestation activities</t>
  </si>
  <si>
    <t>Improve Health Center and Dental Clinic</t>
  </si>
  <si>
    <t>Mitigate deforestation pressures using a combination of environmental programs and social programs which are intended to improve the livelihoods of community
members living in the vicinity of the project area</t>
  </si>
  <si>
    <t>Acre, Brazil along the southern bank of the Valparaiso River. Coordinates for approx. center of plot according to PDD</t>
  </si>
  <si>
    <t>-072.608333</t>
  </si>
  <si>
    <t>-008.166667</t>
  </si>
  <si>
    <t>2011-2021</t>
  </si>
  <si>
    <t>CH4 | N2O</t>
  </si>
  <si>
    <t>https://registry.verra.org/mymodule/ProjectDoc/Project_ViewFile.asp?FileID=36875&amp;IDKEY=u097809fdslkjf09rndasfufd098asodfjlkduf09nm23mrn87850850625</t>
  </si>
  <si>
    <t>Under Veirfication</t>
  </si>
  <si>
    <t>https://registry.verra.org/app/projectDetail/VCS/1112</t>
  </si>
  <si>
    <t>https://registry.verra.org/app/projectDetail/VCS/1112
http://www.climate-standards.org/2013/07/18/the-russas-project/</t>
  </si>
  <si>
    <t>Communities will receive a small share of the payments from I.S.R.C. from carbon revenue.</t>
  </si>
  <si>
    <t>agricultural extension training</t>
  </si>
  <si>
    <t>other</t>
  </si>
  <si>
    <t>Employment of local community members as forest guards or other project staff</t>
  </si>
  <si>
    <t>Assist communities in obtaining land tenure</t>
  </si>
  <si>
    <t>address deforestation pressures in the region</t>
  </si>
  <si>
    <t>reforestation activities</t>
  </si>
  <si>
    <t>2043</t>
  </si>
  <si>
    <t>- Technical training on sustainable cattle raising
and forest management, fire brigades, study for
a small non-wood product processing plant,
production of Brazil-nuts (already in place) etc.
- Seedling Production Nursery: capacity of
50,000 native-species seedlings per year and
donation for neighbors wishing to plant.</t>
  </si>
  <si>
    <t>non timber production</t>
  </si>
  <si>
    <t>Country: Brazil
State: Amazonas
Municipality: Lábrea. Coordinates are for approx. center of plot according to CCB PDD</t>
  </si>
  <si>
    <t>-066.133330</t>
  </si>
  <si>
    <t>-008.916666</t>
  </si>
  <si>
    <t>State : Amazonas</t>
  </si>
  <si>
    <t>Municipality : Lábrea</t>
  </si>
  <si>
    <t>2013-2043</t>
  </si>
  <si>
    <t>Above ground biomass | Other</t>
  </si>
  <si>
    <t>wood products</t>
  </si>
  <si>
    <t>Common practice analysis | Investment analysis</t>
  </si>
  <si>
    <t>https://registry.verra.org/mymodule/ProjectDoc/Project_ViewFile.asp?FileID=41152&amp;IDKEY=fiquwesdfmnk0iei23nnm435oiojnc909dsflk9809adlkmlkf956748608</t>
  </si>
  <si>
    <t>in process</t>
  </si>
  <si>
    <t>https://registry.verra.org/app/projectDetail/CCB/1654</t>
  </si>
  <si>
    <t>http://www.climate-standards.org/2016/03/21/foraleza-ituxi-redd-project/
https://registry.verra.org/app/projectDetail/VCS/1654
https://registry.verra.org/app/projectDetail/CCB/1654</t>
  </si>
  <si>
    <t>Technical training on sustainable cattle raising and forest management, fire brigades, study for a small non-wood product processing plant, production of Brazil-nuts (already in place) etc |  Courses on forest management methods will be offered to the local community.</t>
  </si>
  <si>
    <t>tree planting</t>
  </si>
  <si>
    <t>Seedling Production Nursery: capacity of 50,000 native-species seedlings per year</t>
  </si>
  <si>
    <t>Courses on forest management methods will be offered to the local community.</t>
  </si>
  <si>
    <t>Seedling Production Nursery: capacity of 50,000 native-species seedlings per year and donation for neighbors wishing to plant.</t>
  </si>
  <si>
    <t>monitoring the attendance of young in schools.</t>
  </si>
  <si>
    <t>Manoa REDD+ Project is a partnership between Biofílica and Grupo Triângulo, located at Manoa Farm, city of Cujubim, state of Rondônia, in an area of 74.038,7 hectares. The farm`s 73,000 hectares of forest demonstrates the pioneering in sustainable forest management, and are one of the few forest areas remaining in private area in the region, constantly threatened by invasions and timber theft.Manoa Project will carry on the following actions to reduce deforestation and consequently reduce emissions:forest protection and monitoring; scientific research, local socioeconomic and social empowerment.</t>
  </si>
  <si>
    <t>cattle grazing, illegal logging, infrastructure, local livelihoods</t>
  </si>
  <si>
    <t>Manoa Farm</t>
  </si>
  <si>
    <t>98%</t>
  </si>
  <si>
    <t>Manoa REDD+ Project is located at Manoa Farm, which territory covers an area of 74,038,7
hectares in the cities of Cujubim, Itapoã do Oeste, and Porto Velho, state of Rondônia state,
Northern Brazil.</t>
  </si>
  <si>
    <t>-062.707680</t>
  </si>
  <si>
    <t>-008.864257</t>
  </si>
  <si>
    <t>Municipality : Cujubim, Itapoã do Oeste, and Porto Velho</t>
  </si>
  <si>
    <t>2013-2042</t>
  </si>
  <si>
    <t>https://registry.verra.org/mymodule/ProjectDoc/Project_ViewFile.asp?FileID=44361&amp;IDKEY=nlksjoiuwqowrnoiuomnckjashoufifmln902309ksdflku098u61173819</t>
  </si>
  <si>
    <t>https://registry.verra.org/mymodule/ProjectDoc/Project_ViewFile.asp?FileID=44362&amp;IDKEY=f097809fdslkjf09rndasfufd098asodfjlkduf09nm23mrn87n61175198</t>
  </si>
  <si>
    <t>FSC</t>
  </si>
  <si>
    <t>https://info.fsc.org/details.php?id=a0240000005sV7PAAU&amp;type=certificate</t>
  </si>
  <si>
    <t>Project PDD:
https://registry.verra.org/app/projectDetail/VCS/1571
https://registry.verra.org/app/projectDetail/CCB/1571</t>
  </si>
  <si>
    <t>Technical assistance for local producers' associations. Through its own training center, CEFLOM, the project provides trainings and capacitation in techniques aimed at encouraging sustainable development practices such as responsible forest management, agroforestry systems, low carbon agriculture, among others.</t>
  </si>
  <si>
    <t>agriculture | agroforestry | tree planting</t>
  </si>
  <si>
    <t>FSC Certified Forest Management (in progress)  |  Low Carbon Agriculture and agroforestry/tree planting in partnership with smallholder producers surrrounding the project area (Prediction of beginning in early 2019)</t>
  </si>
  <si>
    <t>Strengthening and technical assistance for local producers' associations and environmental education interventions for the surrounding rural population and the municipality of Cujubim, aiming to strengthen small farmers, together with awareness of environmental issues, and consequent improvement in the quality of life of these people.Interventions with schools in the region to hold lectures/seminars and workshops on environmental education.</t>
  </si>
  <si>
    <t>Forest protection and monitoring: remote monitoring and in local surveillance of the Manoa farm area.</t>
  </si>
  <si>
    <t>Maintenance of "ecological corridors" with Conservation Units of the state of Rondônia, reducing negative impacts of the region degradation. Use of best management practices (FSC certified forest management).</t>
  </si>
  <si>
    <t>Training in management, leadership and public policies directed to local associations.The project plans to partner with local organizations to offer technical follow-up to the actors participating in the activities, as well as to support local associations to promote their own development.</t>
  </si>
  <si>
    <t>2044</t>
  </si>
  <si>
    <t>The main objective of the present REDD project is the conservation of 186,219.06 ha of Amazon rainforest area within a private land named “Fazenda Seringal Novo Macapá” that will be achieved through avoidance of unplanned deforestation. Agrocortex Madeiras do Acre Agroflorestal Ltda. committed to conserve the forest area. the revenue from this REDD project is essential for the continued conservation of this native rainforest area. Conservation activities include increased monitoring to the prevent invasion of illegal deforestation by outside agents and banning of unplanned logging and other unpermitted degradation within the project area.</t>
  </si>
  <si>
    <t>illegal logging, industrial agriculture or cattle ranching, industrial wood exploitation, infrastructure</t>
  </si>
  <si>
    <t>three municipalities within the South-western Amazon region: Manoel Urbano in the State of Acre (AC), and Pauini and Boca do Acre, in the State of Amazonas (AM).</t>
  </si>
  <si>
    <t>State | private | Communities</t>
  </si>
  <si>
    <t>-070.526498</t>
  </si>
  <si>
    <t>-009.047868</t>
  </si>
  <si>
    <t>States: Acre and Amazonas</t>
  </si>
  <si>
    <t>Municipalities: Manoel Urbano, Pauini, Boca de Acre</t>
  </si>
  <si>
    <t>2014-2044</t>
  </si>
  <si>
    <t>Harvested wood products</t>
  </si>
  <si>
    <t>https://registry.verra.org/mymodule/ProjectDoc/Project_ViewFile.asp?FileID=24370&amp;IDKEY=098klasmf8jflkasf8098afnasfkj98f0a9sfsakjflsakjf8d833606230</t>
  </si>
  <si>
    <t>https://registry.verra.org/app/projectDetail/VCS/1686
https://registry.verra.org/mymodule/ProjectDoc/Project_ViewFile.asp?FileID=24369&amp;IDKEY=9iofj09234rm9oq4jndsma80vcalksdjf98cxkjaf90823nmq3j33604851
http://www.agrocortex.com/</t>
  </si>
  <si>
    <t>more than 100</t>
  </si>
  <si>
    <t>Forest fire prevention and fire fighting training, community training</t>
  </si>
  <si>
    <t>Land demarcation processes</t>
  </si>
  <si>
    <t>Agrocortex promotes environmental education to employees and local communities |  Environmental education and other social activities that benefit the local community will be supported</t>
  </si>
  <si>
    <t>the revenue from this REDD project is essential Conservation activities include increased monitoring to the prevent invasion of illegal deforestation by outside agents and banning of unplanned logging and other unpermitted degradation within the project area.</t>
  </si>
  <si>
    <t xml:space="preserve">Revegetation and the management of remaining trees and seedlings is performed to cleared areas and on the borders of roads and storage yards | </t>
  </si>
  <si>
    <t>community education and training, public health</t>
  </si>
  <si>
    <t>2055</t>
  </si>
  <si>
    <t>The Climate objective of the Project is to avoid and prevent unplanned deforestation in native forests. The project is managing the land in the form of a “private reserve” by monitoring and operating a pre-designed plan. The long term hope is to change the mentality from this region from a lawless conflict region to a stable region where everyone has title and no one fears land grabbers or have to spend excessively on legal fees to remove landowners.</t>
  </si>
  <si>
    <t>Protection Indigenous Peoples</t>
  </si>
  <si>
    <t>local livelihoods</t>
  </si>
  <si>
    <t>Portel</t>
  </si>
  <si>
    <t>-050.824040</t>
  </si>
  <si>
    <t>-001.938712</t>
  </si>
  <si>
    <t>State:  Para</t>
  </si>
  <si>
    <t>Municipality:  Portel</t>
  </si>
  <si>
    <t>2016-2055</t>
  </si>
  <si>
    <t>Above ground biomass | Below ground biomass | Litter</t>
  </si>
  <si>
    <t xml:space="preserve">Barrier analysis | Common practice analysis | Investment analysis
</t>
  </si>
  <si>
    <t>https://registry.verra.org/mymodule/ProjectDoc/Project_ViewFile.asp?FileID=46644&amp;IDKEY=jiofj09234rm9oq4jndsma80vcalksdjf98cxkjaf90823nmq3364322076</t>
  </si>
  <si>
    <t>https://registry.verra.org/app/projectDetail/VCS/2252
https://registry.verra.org/app/projectDetail/CCB/2252
https://registry.verra.org/mymodule/ProjectDoc/Project_ViewFile.asp?FileID=46644&amp;IDKEY=jiofj09234rm9oq4jndsma80vcalksdjf98cxkjaf90823nmq3364322076</t>
  </si>
  <si>
    <t>0-20</t>
  </si>
  <si>
    <t>50 cook stoves provided |  training on other crops besides Casava |  Agroforestry training |  training farmers in sustainable agriculture</t>
  </si>
  <si>
    <t>agriculture | agroforestry | ecotourism | fuel efficient stoves</t>
  </si>
  <si>
    <t>paying for and helping the local residents known as Riverine people to gain land tenure documents and eventually full freehold title deeds for 127 different households</t>
  </si>
  <si>
    <t>The project has initiated several awareness programmes for efficient use of land for agricultural practices</t>
  </si>
  <si>
    <t>regular patrolling on Illegal logging and demarcating boundaries</t>
  </si>
  <si>
    <t>facilitating better education |  Health benefits to the women and to the overall community</t>
  </si>
  <si>
    <t>Yellow Ipê Program</t>
  </si>
  <si>
    <t>The Yellow Ipê Grouped REDD Project is located in the municipalities of Novo Aripuanã and Borba, south of Amazonas state, in the Northern region of Brazil. The Trans Amazonian Highway BR 230 is located in the south of the project region and, along its route, cattle raising can be found, which is one of the many agents to deforestation in the region. The primary objective of the Yellow Ipê Grouped REDD Project is to avoid unplanned deforestation (AUD) of a specific region within the municipalities of Novo Aripuanã and Borba. The first Project activity instance has an area of 86,097.67ha, as it is part of two private properties in Novo Aripuanã, consisting of 100% Amazon rainforest. However, other REDD project instances can be added into this grouped project activity in the future, as long as they comply with the eligibility criteria defined by the methodology and of the VCS Standard. Besides the ecological and carbon benefits of the project, a proportion of the carbon credits generated will be dedicated to improving social and environmental conditions for the local community around the project area, specifically contributing to environmental education and other social activities. The contribution to sustainability is being monitored applying the SOCIALCARBON® Standard, which is based on six key indicators: Biodiversity; Natural; Financial; Human; Social and Carbon Resources. This REDD project is expected to avoid a predicted 25,680.81ha of deforestation, equating to around 8,199,069 tCO2e in emissions reductions </t>
  </si>
  <si>
    <t>cattlegrazing| infrastructure |local livelihoods</t>
  </si>
  <si>
    <t>ARR|REDD|Other</t>
  </si>
  <si>
    <t>plantation</t>
  </si>
  <si>
    <t>Aripuanã Sustainable Development Reserve (18% of project area); Guariba Extractive Reserve (5% of project area)</t>
  </si>
  <si>
    <t>South-Amazonian Mesoregion and Microregion of Madeira, Novo Ariapuanã and Borba</t>
  </si>
  <si>
    <t>private | state</t>
  </si>
  <si>
    <t>private | state|communities</t>
  </si>
  <si>
    <t>State: Amazonas</t>
  </si>
  <si>
    <t>Municipalities of Novo Aripuanã and Borba</t>
  </si>
  <si>
    <t>2020-2050</t>
  </si>
  <si>
    <t>2020-2049</t>
  </si>
  <si>
    <t>registered</t>
  </si>
  <si>
    <t>https://registry.verra.org/mymodule/ProjectDoc/Project_ViewFile.asp?FileID=56682&amp;IDKEY=8kjalskjf098234kj28098sfkjlf098098kl32lasjdflkj909l78164478</t>
  </si>
  <si>
    <t>VCS PDD (https://registry.verra.org/mymodule/ProjectDoc/Project_ViewFile.asp?FileID=56475&amp;IDKEY=skjalskjf098234kj28098sfkjlf098098kl32lasjdflkj909f77879025)</t>
  </si>
  <si>
    <t>Payment of pensions for participants, and facilitation to enter in payment for environmental services scheme</t>
  </si>
  <si>
    <t>capacity building schemes, improvement of forest management techniques and approaches</t>
  </si>
  <si>
    <t>NTFP</t>
  </si>
  <si>
    <t>No further details provided, only stated the plans for doing so</t>
  </si>
  <si>
    <t>Deployed as a means generate alternative sources of income to minimize risks of invasion and deforestation within the project area and the reference region, and avoid long-term deforestation furthering</t>
  </si>
  <si>
    <t xml:space="preserve">Permament Areas of environmental protection (according to Brazil`s conservation norms) are included within the project`s area - </t>
  </si>
  <si>
    <t>planting using native species and focusing on carbon accumulation below ground</t>
  </si>
  <si>
    <t>education and technical skills capacity building are included within their plans for the project area</t>
  </si>
  <si>
    <t>EVERGREEN REDD+ PROJECT</t>
  </si>
  <si>
    <t>The Evergreen REDD+ Project is located in Apuí Municipality, Amazonas, currently the municipality with the 10th highest deforestation rate in Brazil making it a priority area for forest conservation worldwide. The present project continues to build on the success of the Fortaleza Ituxi REDD+ Project and the Unitor REDD+ Project, which have the same project developer and owner, and have provided an important proof of concept for the region. Evergreen’s Project Area sums to 130,554.81 hectares of preserved forest area. Given the deforestation pressures and financial difficulties regarding sustainable economic activities in the Project Area, sale of the farm to private investors is considered the most plausible baseline scenario. In recent years, some of the project landowners have been approached to sell their properties. In this context, the conversion of a portion of the project area to pastureland by the project owners, to alleviate the financial pressure, followed by the regional business-as-usual scenario (BAU) is the most plausible future scenario, involving deforestation beyond Brazilian Forest Code limits and sale of illegal timber, followed by implementation of unsustainable cattle ranching operations. Provided that the present REDD+ project is approved, the landowner intends to improve the mechanisms of surveillance inside the Project Area, abandon planned deforestation activities, as well as implement activities that will result in climate, community, and biodiversity benefits</t>
  </si>
  <si>
    <t>Other -ecosystem restoration</t>
  </si>
  <si>
    <t>Illegal logging|Agriculture|local livelihood</t>
  </si>
  <si>
    <t>Apuí municipality in the State of Amazonas</t>
  </si>
  <si>
    <t>few data</t>
  </si>
  <si>
    <t xml:space="preserve"> State: Amazonas</t>
  </si>
  <si>
    <t>municipality of Apuí</t>
  </si>
  <si>
    <t>2020 - 2050</t>
  </si>
  <si>
    <t>2021-2050</t>
  </si>
  <si>
    <t>CH4 | CO2</t>
  </si>
  <si>
    <t>Barrier analysis</t>
  </si>
  <si>
    <t>https://registry.verra.org/app/projectDetail/VCS/2539</t>
  </si>
  <si>
    <t>Employment of the local commmunity</t>
  </si>
  <si>
    <t>project owner provides motorcycles, pickups and quads when needed</t>
  </si>
  <si>
    <t>NTPF</t>
  </si>
  <si>
    <t>A Sustainable Forest Management Plan (SFMP) may be implemented during the project period, to harvest forest products/by-products in a manner consistent with the conservation of the local ecosystem.</t>
  </si>
  <si>
    <t>Private lands whose properties are properly registered under Brazilian law are permitted within Aripuanã Sustainable Development Reserve, Guariba Extractive Reserve, and Aripuanã State Forest</t>
  </si>
  <si>
    <t>Fire brigade training will be given for all the project employees and neighbours\Training courses will be carried out to qualify the project's employees and neighbours; regarding sustainable forest management and wild harvesting\ training activities for communities related to the collection of non-timber forest products (NTFPs)</t>
  </si>
  <si>
    <t xml:space="preserve">Supervision is carried out by 12 supervisors from within the project region, who keep the project owner updated constantly. The supervision team monitors the area on alternate schedules, flying over the area every two weeks. Monitoring by river is carried out almost daily, and there are two boats available for this activity. </t>
  </si>
  <si>
    <t>UNITOR REDD+ PROJECT</t>
  </si>
  <si>
    <t>The UNITOR REDD+ PROJECT is locatedThis is a grouped project. Unitor REDD+ is an AFOLU project activity designed to include REDD  Avoided Unplanned Deforestation (AUD) components. The primary objective of the Unitor REDD+ Project is to avoid net emissions of 12,514,470 tCO2e 
(average of 417,149 tCO2e/year), corresponding to 24,769 hectares of avoided deforestation 
over the 30-year project lifetime</t>
  </si>
  <si>
    <t>Biodiversity conservation</t>
  </si>
  <si>
    <t>industrial agriculture or cattle ranching | population increase | infrastructure | illegal logging | fire | other-policy</t>
  </si>
  <si>
    <t>Humid</t>
  </si>
  <si>
    <t>The project is located in the municipality of Lábrea, consists of 15 properties namely Fazenda Santa Catarina, Fazenda Santa Maria, Fazenda Bahia, Fazenda Paraná, Fazenda Santa F, Fazenda Presidente Prudente, Fazenda Jardim Alegre, Fazenda São José, Fazenda São Manoel, Fazenda São Sebastião, Fazenda União, Fazenda Panorama, Fazenda Três Barras</t>
  </si>
  <si>
    <t>Private</t>
  </si>
  <si>
    <t>Private and communities</t>
  </si>
  <si>
    <t>municipality of Lábrea</t>
  </si>
  <si>
    <t>2018-2048</t>
  </si>
  <si>
    <t>2019-2048</t>
  </si>
  <si>
    <t>https://registry.verra.org/mymodule/ProjectDoc/Project_ViewFile.asp?FileID=65931&amp;IDKEY=0iofj09234rm9oq4jndsma80vcalksdjf98cxkjaf90823nmq3a90918849</t>
  </si>
  <si>
    <t>All info based on PDD https://registry.verra.org/mymodule/ProjectDoc/Project_ViewFile.asp?FileID=52905&amp;IDKEY=jq934lkmsad39asjdkfj90qlkalsdkngaf98ulkandDfdvDdfh972955995</t>
  </si>
  <si>
    <t>The financial source to commnuity is merely from monetizing carbon credit</t>
  </si>
  <si>
    <t>The Unitor REDD+ Project is committed to conduct social-environmental activities linked to the preservation of the forest stewardship and maintaining the integrity of the project proponent’s farm</t>
  </si>
  <si>
    <t xml:space="preserve">NTFP </t>
  </si>
  <si>
    <t>Local stakeholders have access to the project area to perform activities such as the harvesting of nuts, açai and copaiba oil, excluding illegal deforestation</t>
  </si>
  <si>
    <t>land titling/registration</t>
  </si>
  <si>
    <t>Technical Training on Sustainable Cattle Raising | Forest Management Courses | Fire bridge training |</t>
  </si>
  <si>
    <t>The local community will be strategic in monitoring illegal land occupation and potential illegal logging.</t>
  </si>
  <si>
    <t>workshops on health, well-being and nutrition will be given to employees and the community, aiming to raise awareness about non-communicable diseases and the importance of having healthy habits.</t>
  </si>
  <si>
    <t>ADPML Portel-Para REDD Project</t>
  </si>
  <si>
    <t>PACAJAI REDD+ PROJECT</t>
  </si>
  <si>
    <t>REDD Project to stop deforestation within private parcels amounting to 135, 105 Ha at the edge of the deforestation frontier in Brazil. The project will generate multiple climate, social, and biodiversity benefits</t>
  </si>
  <si>
    <t>other-ecosystem restoration</t>
  </si>
  <si>
    <t>Other-land speculation|illegal logging|infrastructure</t>
  </si>
  <si>
    <t>Agroforestry</t>
  </si>
  <si>
    <t>northwest of Brazil, in the State of Para, micro region of Portel, municipality of Portel</t>
  </si>
  <si>
    <t>fee data</t>
  </si>
  <si>
    <t>State: Para</t>
  </si>
  <si>
    <t>Municipality of Portel</t>
  </si>
  <si>
    <t>2009-2048</t>
  </si>
  <si>
    <t>2009 - 2048</t>
  </si>
  <si>
    <t>CH4</t>
  </si>
  <si>
    <t>https://registry.verra.org/app/projectDetail/VCS/981</t>
  </si>
  <si>
    <t>In process</t>
  </si>
  <si>
    <t>Agroforestry|fuel efficient cookstoves</t>
  </si>
  <si>
    <t>The Project LMA will be used as a showcase for local families to receive capacity training and to participate on agroforestry techniques. The Project will provide economic support to train and to implement agroforestry schemes such as home gardens, improved fallows, forest gardening and forest farming.The project shall provide training and econominc support to the local community for energy efficient cook stove</t>
  </si>
  <si>
    <t>The Project’s Management Team, along with the landowner, have put forward a proposal to regularize land tenure status of those villagers living in the Leakage Management Area (LMA). The landowner has signed an agreement to provide official land-use rights to villagers in the LMA with the hopes that they will own these lands in 40 years</t>
  </si>
  <si>
    <t>capacity building on steps to gain land use rights over Government owned forests|capacity building in agroforestry techniques and implement agroforestry pilots|capacity building on improved efficiency cook stoves and implement cook stove pilots|capacity building to develop small sustainable business|capacity building to cattle ranchers that move inside the Project Boundary</t>
  </si>
  <si>
    <t xml:space="preserve"> patrols have been successful thus far to intercept all potential agents on the project boundary to turn them away and keep them from settling and extracting forest resources</t>
  </si>
  <si>
    <t>As for biodiversity, the Project will enhance ecosystem functionality by allowing regeneration of degraded forest thus eliminating ecosystem fragmentation|. The medium term goal is to allow forest regeneration thus increasing the amount of carbon sequestered in the forest.</t>
  </si>
  <si>
    <t>Oddar Meanchey REDD Project</t>
  </si>
  <si>
    <t>Reduced Emissions from Deforestation and Degradation in Community Forests – Oddar Meanchey, Cambodia; Reduced Emissions from Deforestation in Community Forests Oddar Meanchey, Cambodia</t>
  </si>
  <si>
    <t>The project has partnered directly with local communities to establish Community Forest groups that implement project activities to reduce deforestation, improve livelihoods and protect biodiversity. Agreements provides exclusive management rights and responsibilities to the Community.
The project plans to implement Forestry Management Committees (CFMCs) over the project area for a fifteen-year renewable period.
Activities include: Reinforcing land-tenure status, Land-use plans, Forest protection, Assisted natural regeneration (ANR), Fire prevention and NTFP Development Activities.</t>
  </si>
  <si>
    <t>energy wood, fire, illegal logging, industrial wood exploitation, local livelihoods, oil extraction</t>
  </si>
  <si>
    <t>dry|humid</t>
  </si>
  <si>
    <t>Northwestern province of Oddar Meanchey. Coordinates at approx. center of plots according to KML file</t>
  </si>
  <si>
    <t>0103.662640</t>
  </si>
  <si>
    <t>0014.304160</t>
  </si>
  <si>
    <t>Asia</t>
  </si>
  <si>
    <t>Province : Oddar Meanchey</t>
  </si>
  <si>
    <t>2008-2038</t>
  </si>
  <si>
    <t>http://www.climate-standards.org/2013/08/30/reduced-emissions-from-degradation-and-deforestation-in-community-forests-oddar-meanchey-cambodia/</t>
  </si>
  <si>
    <t>https://registry.verra.org/mymodule/ProjectDoc/Project_ViewFile.asp?FileID=42608&amp;IDKEY=f0e98hfalksuf098fnsdalfkjfoijmn4309JLKJFjlaksjfla9i58756432</t>
  </si>
  <si>
    <t>On tenure: http://www.seas.at/aseas/5_2/ASEAS_5_2_A5.pdf
http://www.forestcarbonportal.com/project/oddar-meanchey-forest-carbon-project;
https://vcsprojectdatabase2.apx.com/myModule/Interactive.asp?Tab=Projects&amp;a=2&amp;i=904&amp;lat=14%2E2461233241779&amp;lon=103%2E724792743118&amp;bp=1;
Press releases: 2013-2014
http://www.cambodiadaily.com/archives/as-forests-fall-carbon-credit-plan-faces-collapse-59938/;
http://www.redd-monitor.org/2014/01/27/some-questions-about-the-oddar-meanchey-redd-project-in-cambodia/;
http://www.cambodiadaily.com/archives/as-forests-fall-carbon-credit-plan-faces-collapse-59938/;
http://www.voacambodia.com/content/carbon-credits-ready-for-sale-in-oddar-meanchey-forest/1827513.html;
http://www.redd-monitor.org/2013/06/21/oddar-meanchey-redd-project-runs-into-problems-selling-carbon-credits-as-the-cambodian-government-misses-deal-signing-deadline/?utm_source=feedburner&amp;utm_medium=email&amp;utm_campaign=Feed%3A+Redd-monitor+%28REDD-Monitor%29;
https://vcsprojectdatabase2.apx.com/myModule/ProjectDoc/Project_ViewFile.asp?FileID=10739&amp;IDKEY=l0e98hfalksuf098fnsdalfkjfoijmn4309JLKJFjlaksjfla9l14809081.;
http://www.coderedd.org/redd-project/terra-global-capitaloddar-meanchey-cambodia/#.UhMvktL0Gzk
http://www.vcsprojectdatabase.org/#/project_details/904;
http://www.climate-standards.org/2013/08/30/reduced-emissions-from-degradation-and-deforestation-in-community-forests-oddar-meanchey-cambodia/
https://registry.verra.org/mymodule/ProjectDoc/Project_ViewFile.asp?FileID=40264&amp;IDKEY=a98klasmf8jflkasf8098afnasfkj98f0a9sfsakjflsakjf8ds55524056</t>
  </si>
  <si>
    <t>Approximately 50% of project revenues given to communities</t>
  </si>
  <si>
    <t>training in forest management and planning |  Training/implementing sustainable farming practices to improve productivity</t>
  </si>
  <si>
    <t>micro-credits | processing and commercialization</t>
  </si>
  <si>
    <t xml:space="preserve">Providing employment through patrolling and tree planting. |  enhancing production, processing and marketing of NTFPs | micro-financing | </t>
  </si>
  <si>
    <t>assists rural people in gaining legal tenure rights over local forests</t>
  </si>
  <si>
    <t>Awareness-raising for both project and surrounding communities will be addressed through traditional theatre performances (e.g., shadow puppetry), billboards, boundary demarcation, and meetings, with encouragement for surrounding migrant communities to emulate sustainable forest management practices under future REDD expansion.</t>
  </si>
  <si>
    <t>patrolling of forest, fire prevention and control</t>
  </si>
  <si>
    <t>the committees that are representing the individual members of the Community Forestry Groups, to restore their degraded forests through silvicultural treatments including multiple shoot cutting, clearing around seedlings, enrichment planting, water harvesting, and other methods.</t>
  </si>
  <si>
    <t xml:space="preserve">water resource development |  distributing fuel-efficient cook stoves to reduce health risks associated with indoor cooking | </t>
  </si>
  <si>
    <t>Seima Protection Forest REDD pilot project</t>
  </si>
  <si>
    <t>Reduced Emissions from Deforestation and Degradation in Seima Protection Forest; Reduced Emissions from Deforestation and Degradation in Keo Seima Wildlife Sanctuary</t>
  </si>
  <si>
    <t>2069</t>
  </si>
  <si>
    <t>The Community-Based Production Forestry project (CBPF) consists of two main areas of activities:
- A Core Protection Forest where a REDD+ project will be implemented, where deforestation is 100% prohibited, and Buffer Protection Forest areas, where 
suitable development activities can occur and timber will be harvested in a sustainable way. 
- A Community-Based Forest Enterprise (CBFE) project. Here timber harvesting rights will be assigned to Community-based Forest Enterprises (CFEs) set up at the commune level and timber products will be sold on the domestic market.</t>
  </si>
  <si>
    <t>Seima Protection Forest</t>
  </si>
  <si>
    <t>60%</t>
  </si>
  <si>
    <t>Mondulkiri province in Eastern Cambodia. Coordinates are for headquarters for south-western entrance to the reserve in the Keo Seima District as according to PDD</t>
  </si>
  <si>
    <t>0106.921028</t>
  </si>
  <si>
    <t>0012.136975</t>
  </si>
  <si>
    <t>Province : Mondulkiri</t>
  </si>
  <si>
    <t>District : Keo Seima</t>
  </si>
  <si>
    <t>2010-2069</t>
  </si>
  <si>
    <t>2010-2019</t>
  </si>
  <si>
    <t>Above ground biomass | Below ground biomass | Dead wood | Litter</t>
  </si>
  <si>
    <t xml:space="preserve"> https://registry.verra.org/mymodule/ProjectDoc/Project_ViewFile.asp?FileID=69964&amp;IDKEY=3iofj09234rm9oq4jndsma80vcalksdjf98cxkjaf90823nmq3996480356</t>
  </si>
  <si>
    <t>https://registry.verra.org/mymodule/ProjectDoc/Project_ViewFile.asp?FileID=43147&amp;IDKEY=u097809fdslkjf09rndasfufd098asodfjlkduf09nm23mrn87859499713</t>
  </si>
  <si>
    <t>http://www.cambodia-redd.org/category/redd-implementation/demonstration-projects/mondulkiri;
http://theredddesk.org/countries/initiatives/seima-protection-forest-redd-pilot-project;
http://www.climate-standards.org/2013/09/12/reduced-emissions-from-deforestation-and-degradation-in-seima-protection-forest-2/;
http://redd-database.iges.or.jp/redd/download/link;jsessionid=7231DA4711CE592EFA535AD47C205172?id=14;
https://www.google.fr/url?sa=t&amp;rct=j&amp;q=&amp;esrc=s&amp;source=web&amp;cd=1&amp;cad=rja&amp;ved=0CC8QFjAA&amp;url=http%3A%2F%2Fwww.wcscambodia.org%2FDesktopModules%2FBring2mind%2FDMX%2FDownload.aspx%3FEntryId%3D12556%26PortalId%3D133&amp;ei=4UobUsSKAsWp0QXRsIH4Ag&amp;usg=AFQjCNH4BzmrvBGjKihbQExKq9KuYOi09A&amp;bvm=bv.51156542,d.d2k;
tpearson@winrock.org;
https://www.google.fr/url?sa=t&amp;rct=j&amp;q=&amp;esrc=s&amp;source=web&amp;cd=1&amp;ved=0CC8QFjAA&amp;url=http%3A%2F%2Fwww.wcscambodia.org%2FDesktopModules%2FBring2mind%2FDMX%2FDownload.aspx%3FEntryId%3D12556%26PortalId%3D133&amp;ei=JYIXUrL7Esu10QWvxYCICQ&amp;usg=AFQjCNH4BzmrvBGjKihbQExKq9KuYOi09A&amp;bvm=bv.51156542,d.d2k;
https://www.google.fr/url?sa=t&amp;rct=j&amp;q=&amp;esrc=s&amp;source=web&amp;cd=1&amp;ved=0CCwQFjAA&amp;url=http%3A%2F%2Fwww.wcs.org%2Fabout-us%2F~%2Fmedia%2FFiles%2Fprospectuses%2FseimaProspectus.pdf&amp;ei=UHMXUs2DNqKw0AXS8oHYAg&amp;usg=AFQjCNGyIu2IY3TZKYeKcGrFfTUTX4fyHA&amp;bvm=bv.51156542,d.d2k;
http://redd-net.org/files/case%20study%205%20-%20cambodia%20Alice%20final.pdf
https://registry.verra.org/app/projectDetail/VCS/1650
https://registry.verra.org/app/projectDetail/CCB/1650</t>
  </si>
  <si>
    <t>Literacy and numeracy education for increased off farm livelihood options |  provides agricultural extension</t>
  </si>
  <si>
    <t>ecotourism | micro-credits | plantation forestry | tree planting</t>
  </si>
  <si>
    <t>Sustainable timber harvesting |  direct benefit sharing of carbon revenue supporting community investment priorities.</t>
  </si>
  <si>
    <t>Form and maintain land-use agreements with communities to increase tenure security,</t>
  </si>
  <si>
    <t>Conduct extension and communication activities to local community to increase awareness of rights and of the opportunities for better forest management</t>
  </si>
  <si>
    <t>Enforce wildlife, forest and protected area laws and subdecree through patrols |  Establish Communitybased Patrolling and/or monitoring system</t>
  </si>
  <si>
    <t>Support for small-scale infrastructure (e.g. wells, school buildings and health posts, road repairs etc.)</t>
  </si>
  <si>
    <t>The Chocó-Darién Conservation Corridor REDD Project</t>
  </si>
  <si>
    <t>Chocó-Darién Conservation Corridor Project</t>
  </si>
  <si>
    <t>2010</t>
  </si>
  <si>
    <t>2040</t>
  </si>
  <si>
    <t>This project leverages carbon finance to avoid mosaic conversion of tropical forests and therefore reduce greenhouse gas emissions. Through a combination of forest protection and sustainable development activities, this project is estimated to avoid the emission of 2.8 Million metric tonnes of CO2e over the project lifetime. The project will utilize carbon revenues to fund 14 activities designed to reduce deforestation in the project area, by building governance capacity, Improving enforcement and management, developing economic alternatives and incentives.</t>
  </si>
  <si>
    <t>illegal logging, industrial agriculture or cattle ranching, industrial wood exploitation, local livelihoods</t>
  </si>
  <si>
    <t>agroforestry, ecosystem restoration</t>
  </si>
  <si>
    <t>Darién region of northwest Colombia. Coordinates are approx. center of project provided by VCS PDF report</t>
  </si>
  <si>
    <t>-077.330833</t>
  </si>
  <si>
    <t>0008.405559</t>
  </si>
  <si>
    <t>Department : Chocó</t>
  </si>
  <si>
    <t>Municipality : Acandí</t>
  </si>
  <si>
    <t>2010-2040</t>
  </si>
  <si>
    <t>Above ground biomass | Litter | Soil organic carbon</t>
  </si>
  <si>
    <t>https://registry.verra.org/mymodule/ProjectDoc/Project_ViewFile.asp?FileID=45797&amp;IDKEY=l8723kjnf7kjandsaslmdv09887vaksmrmnwqkjoiuanfnfuq0m63154063</t>
  </si>
  <si>
    <t>https://registry.verra.org/mymodule/ProjectDoc/Project_ViewFile.asp?FileID=34403&amp;IDKEY=2iofj09234rm9oq4jndsma80vcalksdjf98cxkjaf90823nmq3047441737</t>
  </si>
  <si>
    <t>https://vcsprojectdatabase2.apx.com/myModule/Interactive.asp?Tab=Projects&amp;a=2&amp;i=856&amp;lat=8.405559&amp;lon=-77.330833&amp;bp=1 (not accessible as of September 2020); 
http://news.mongabay.com/2012/1116-colombia-choco-redd.html;
http://www.coderedd.org/redd-project/anthrotect-choco-darien-colombia/#.UjiErtJQZ5o (not accessible as of September 2020);
https://vcsprojectdatabase2.apx.com/myModule/ProjectDoc/Project_ViewFile.asp?FileID=11475&amp;IDKEY=klksjoiuwqowrnoiuomnckjashoufifmln902309ksdflku098q15824025 (not accessible as of September 2020);
https://s3.amazonaws.com/CCBA/Projects/Choco-Darien+Conservation+Corridor/Anthrotect_Choco_Darien_CCB_PDD_v8.60_ES.pdf;
http://www.climate-standards.org/2011/06/27/choco-darien-conservation-corridor-project/</t>
  </si>
  <si>
    <t>https://registry.verra.org/app/projectDetail/VCS/856;
http://www.climate-standards.org/2011/06/27/choco-darien-conservation-corridor-project/;
http://news.mongabay.com/2012/1116-colombia-choco-redd.html;
https://vcsprojectdatabase2.apx.com/myModule/Interactive.asp?Tab=Projects&amp;a=2&amp;i=856&amp;lat=8.405559&amp;lon=-77.330833&amp;bp=1 (not accessible as of September 2020); 
http://www.coderedd.org/redd-project/anthrotect-choco-darien-colombia/#.UjiErtJQZ5o (not accessible as of September 2020);
https://vcsprojectdatabase2.apx.com/myModule/ProjectDoc/Project_ViewFile.asp?FileID=11475&amp;IDKEY=klksjoiuwqowrnoiuomnckjashoufifmln902309ksdflku098q15824025 (not accessible as of September 2020);
https://s3.amazonaws.com/CCBA/Projects/Choco-Darien+Conservation+Corridor/Anthrotect_Choco_Darien_CCB_PDD_v8.60_ES.pdf;
http://www.climate-standards.org/2011/06/27/choco-darien-conservation-corridor-project/</t>
  </si>
  <si>
    <t>Both conditional and non-conditional</t>
  </si>
  <si>
    <t>implement payment for ecosystem services projects that connect communities with emerging markets for carbon and biodiversity; See Employment</t>
  </si>
  <si>
    <t>provide training and technical support for improving agricultural practices, support microfinance groups and educate communities in improved forest management and biodiversity conservation and sustainable use.</t>
  </si>
  <si>
    <t>agriculture | conservation agriculture | micro-credits | microenterprise | processing and commercialization</t>
  </si>
  <si>
    <t xml:space="preserve">microfinance groups | provide training in sustainable agricultural practices. |  40 full and part-time jobs in the community | invest in green commodity production and securing markets for other community products | </t>
  </si>
  <si>
    <t>With clear land titles and improved security conditions, Afro-Colombian communities have returned to the project area to pursue their own visions of territorial development</t>
  </si>
  <si>
    <t>Forest patrol activities</t>
  </si>
  <si>
    <t>enhance forest cover in the Serranía del Darien</t>
  </si>
  <si>
    <t>Expansion of internet and mobile phone coverage</t>
  </si>
  <si>
    <t>New community clinics and health insurance |  Education</t>
  </si>
  <si>
    <t>y The project objectives are threefold: (i) to mitigate climate change by reducing deforestation and forest degradation, and natural recuperation of already degraded forest lands; (ii) contribute to biodiversity conservation including High Conservation Values, and, (iii) foster sustainable development of local communities.</t>
  </si>
  <si>
    <t>illegal logging, local livelihoods</t>
  </si>
  <si>
    <t>Department of Chocó, Colombia. 2 projects: Rio Pepe and Acaba. Coordinates set for center of larger plot (Acaba) as provided by the PDD</t>
  </si>
  <si>
    <t>-076.933610</t>
  </si>
  <si>
    <t>0005.201944</t>
  </si>
  <si>
    <t>Municipality : Bajo Baudó and Medio Baudó</t>
  </si>
  <si>
    <t>2014-2017</t>
  </si>
  <si>
    <t>https://registry.verra.org/mymodule/ProjectDoc/Project_ViewFile.asp?FileID=41999&amp;IDKEY=n8723kjnf7kjandsaslmdv09887vaksmrmnwqkjoiuanfnfuq0j57916621</t>
  </si>
  <si>
    <t>https://registry.verra.org/mymodule/ProjectDoc/Project_ViewFile.asp?FileID=45661&amp;IDKEY=n8723kjnf7kjandsaslmdv09887vaksmrmnwqkjoiuanfnfuq0a62966519</t>
  </si>
  <si>
    <t>http://www.climate-standards.org/2014/11/26/bioredd-acaba-pepe-redd-project/</t>
  </si>
  <si>
    <t>payment for environmental services (PES) and REDD/REDD+ issues</t>
  </si>
  <si>
    <t xml:space="preserve">training and capacity building | </t>
  </si>
  <si>
    <t>agriculture | agroforestry</t>
  </si>
  <si>
    <t>Project activities will increase productivity and agricultural yields on existing cropland, and include such activities as agroforestry</t>
  </si>
  <si>
    <t>Strengthening of Land Tenure</t>
  </si>
  <si>
    <t>a patrol team will be developed to monitor the perimeter to prevent encroachment in the consejo and to report on breaches of conservation commitments.</t>
  </si>
  <si>
    <t>social investments in development planning, infrastructure, health care and education |  construction of settlements</t>
  </si>
  <si>
    <t>maintain social investments (i.e. potable water, health facilities)</t>
  </si>
  <si>
    <t>Concosta REDD+ Project</t>
  </si>
  <si>
    <t>The project objectives are threefold: (i) to mitigate climate change by reducing deforestation and forest degradation, and natural recuperation of already degraded forest lands; (ii) contribute to biodiversity conservation including High Conservation Values, and, (iii) foster sustainable development of local communities.</t>
  </si>
  <si>
    <t>Department of Chocó, Colombia.  Coordinates set for center of plot according to PDD</t>
  </si>
  <si>
    <t>-077.221670</t>
  </si>
  <si>
    <t>0004.704722</t>
  </si>
  <si>
    <t>Municipality : Bajo Baudó and Litoral de San Juan</t>
  </si>
  <si>
    <t>Above ground biomass | Below ground biomass | Dead wood | Other</t>
  </si>
  <si>
    <t>Above ground non-tree biomass, wood products</t>
  </si>
  <si>
    <t>https://registry.verra.org/mymodule/ProjectDoc/Project_ViewFile.asp?FileID=45851&amp;IDKEY=iiquwesdfmnk0iei23nnm435oiojnc909dsflk9809adlkmlkfl63228529</t>
  </si>
  <si>
    <t>http://www.climate-standards.org/2014/11/17/bioredd-concosta-redd-project/</t>
  </si>
  <si>
    <t>payment for environmental services (PES)</t>
  </si>
  <si>
    <t>training community members in the usage of appropriate fishing gear and techniques to maintain populations by respecting species life cycles and area closures.</t>
  </si>
  <si>
    <t>Special Purpose Vehicle (SPV) companies that will be in charge of adding value to the cash crops |  Project activities will increase productivity and agricultural yields on existing cropland, and include such activities as agroforestry.</t>
  </si>
  <si>
    <t>The project activities are designed in a way that the communities are the beneficiaries such as the crop initiatives which take place is on their lands and they will take care of planting, maintenance and enhancement of existing agricultural plots.</t>
  </si>
  <si>
    <t>social investment (health, education, construction of settlements)</t>
  </si>
  <si>
    <t>social investments in development planning, water treatment and health care</t>
  </si>
  <si>
    <t>industrial wood exploitation, local livelihoods</t>
  </si>
  <si>
    <t>Departments of Antioquia and Chocó, Colombia. 2 main plots, coordinates set for center of larger plot as indicated by PDD</t>
  </si>
  <si>
    <t>-076.487778</t>
  </si>
  <si>
    <t>0007.298889</t>
  </si>
  <si>
    <t>Departments : Antioquia and Chocó</t>
  </si>
  <si>
    <t>Municipality : Mutatá and Carmen del Darién</t>
  </si>
  <si>
    <t>Aboveground biomass | Below ground biomass | Dead wood | Soil organic carbon | Other</t>
  </si>
  <si>
    <t>Wood products, Aboveground non tree biomass</t>
  </si>
  <si>
    <t>https://registry.verra.org/mymodule/ProjectDoc/Project_ViewFile.asp?FileID=44502&amp;IDKEY=8903q4jsafkasjfu90amnmasdfkaidflnmdf9348r09dmfasdfk61368258</t>
  </si>
  <si>
    <t>http://www.climate-standards.org/2014/11/14/bioredd-mutata-redd-project/</t>
  </si>
  <si>
    <t>payment for environmental services (PES) |  monitoring system that provides payments based on relative performance (i.e. a decrease in deforestation)</t>
  </si>
  <si>
    <t>The project will support strengthening the association of local fishermen through technical assistance and training</t>
  </si>
  <si>
    <t>The project will be engaging local communities in social fencing, forest patrolling, boundary demarcation, and other activities that provide employment and a greater financial return, compared with logging, to the communities.</t>
  </si>
  <si>
    <t>strengthening land tenure status</t>
  </si>
  <si>
    <t>nvironmental awareness through training activities which intentionally include women from the communities</t>
  </si>
  <si>
    <t>patrolling activities will also be implemented to further prevent and deter potential loggers.</t>
  </si>
  <si>
    <t>community members, who will take care of planting, maintenance, and enhancement of existing agricultural plots to be part of the project activities.</t>
  </si>
  <si>
    <t xml:space="preserve">manage the construction, equipping and operation of schools by location | </t>
  </si>
  <si>
    <t>along with the management of rural electrification by interconnecting and implementing alternative energy.</t>
  </si>
  <si>
    <t>REDD+ Project to mitigate climate change, protect rich biodiversity, and generate sources of income for poor communities, through forest governance, capacity building, and productive activities that will prevent selective logging of native forests, avoiding degradation and deforestation. Located in Buenaventura, Western Pacific coast of Colombia. Developed by BIOREDD+/USAID.
The project objectives are threefold: (i) to mitigate climate change by reducing deforestation and forest degradation, and natural recuperation of already degraded forest lands; (ii) contribute to biodiversity conservation including High Conservation Values, and, (iii) foster sustainable development of local communities.</t>
  </si>
  <si>
    <t>cattle grazing, illegal logging, industrial agriculture or cattle ranching</t>
  </si>
  <si>
    <t>The project area is located in
the Collective Territories (Territorio Colectivo) of Río Cajambre, in the municipality of Buenaventura, and within
the department of Valle del Cauca on the southern Pacific coast of Colombia.</t>
  </si>
  <si>
    <t>-077.195556</t>
  </si>
  <si>
    <t>0003.444167</t>
  </si>
  <si>
    <t>Department : Valle del Cauca</t>
  </si>
  <si>
    <t>Municipality : Buenaventura</t>
  </si>
  <si>
    <t>2013-2019</t>
  </si>
  <si>
    <t>https://registry.verra.org/mymodule/ProjectDoc/Project_ViewFile.asp?FileID=45844&amp;IDKEY=n903q4jsafkasjfu90amnmasdfkaidflnmdf9348r09dmfasdfd63218876</t>
  </si>
  <si>
    <t>http://www.climate-standards.org/2014/11/11/bioredd-cajambre-redd-project/</t>
  </si>
  <si>
    <t>Payment for environmental services (PES) |  monitoring system that provides payments based on relative performance (i.e. a decrease in deforestation).</t>
  </si>
  <si>
    <t>Training and technical assistance in agriculture and fisheries, new crop varieties, harvesting equipment, processing plants, transportation and logistic infrastructure and value chain development. The main products that will be contemplated by the project are: cocoa, acai, chontaduro and fish.</t>
  </si>
  <si>
    <t>agriculture | fishing</t>
  </si>
  <si>
    <t xml:space="preserve">Training and technical assistance in agriculture and fisheries, new crop varieties, harvesting equipment, processing plants, transportation and logistic infrastructure and value chain development | </t>
  </si>
  <si>
    <t>Land tenure for the community of Cajambre is secure. However, current land use management plans are unclear. The project will provide support to individual property titling, land-use planning and conservation zone demarcation.</t>
  </si>
  <si>
    <t>Workshops will also include environmental education modules that inform participants about the importance of conservation and natural resources and will be designed specifically to include and address the needs of women.</t>
  </si>
  <si>
    <t>Implementing sustainable forest and land use management plans can be designed to directly address forest conversion to cropland by limiting how much land can be converted from forest to cropland.</t>
  </si>
  <si>
    <t>The community council of Cajambre identified health as the highest priority social investment to be undertaken as part of a benefits sharing mechanism taking into account existing municipal programs and plans. It also identified education, and the need to manage the construction, provision and improvement of local schools, as the next highest priority. As a first step, the project will assist the community in updating its Municipal Development Plan to reflect its investment priorities. The plan will be disseminated among the community members for approval. Based on the results of a study, the project will prioritize and initiate steps towards achieving the identified priority social investment goals: construct-provision-improve health and education facilities. In addition the community will consider other social investments such as rural electrification.</t>
  </si>
  <si>
    <t>Carmen del Darién (CDD) REDD+ Projec</t>
  </si>
  <si>
    <t>CDD</t>
  </si>
  <si>
    <t>Municipality of Carmen del Darién, Department of Chocó, Colombia. _x000D_Coordinates are set for center of center most plot, Rio Montano.</t>
  </si>
  <si>
    <t>-076.980833</t>
  </si>
  <si>
    <t>0006.924444</t>
  </si>
  <si>
    <t>Municipality : Carmen del Darién</t>
  </si>
  <si>
    <t xml:space="preserve">Above ground biomass | Below ground biomass | Dead wood </t>
  </si>
  <si>
    <t>https://registry.verra.org/mymodule/ProjectDoc/Project_ViewFile.asp?FileID=42003&amp;IDKEY=0097809fdslkjf09rndasfufd098asodfjlkduf09nm23mrn87l57922137</t>
  </si>
  <si>
    <t>https://registry.verra.org/mymodule/ProjectDoc/Project_ViewFile.asp?FileID=45664&amp;IDKEY=q903q4jsafkasjfu90amnmasdfkaidflnmdf9348r09dmfasdff62970656</t>
  </si>
  <si>
    <t>http://www.climate-standards.org/2014/10/14/carmen-del-darien-project-cdd/</t>
  </si>
  <si>
    <t>Payment for environmental services (PES)</t>
  </si>
  <si>
    <t>supports land tenure policies so that people have rights to own and manage natural resources responsibly |  Strengthening of Land-tenure Status</t>
  </si>
  <si>
    <t>environmental awareness |  the project will support on-going workshops and awareness campaigns to increase awareness about the project,</t>
  </si>
  <si>
    <t>patrolling activities will also be implemented to further prevent and deter potential loggers</t>
  </si>
  <si>
    <t>community members, who will take care of planting, maintenance, and enhancement of existing agricultural plots to be part of the project activities</t>
  </si>
  <si>
    <t>maintain social investments (i.e. health facilities, education and housing</t>
  </si>
  <si>
    <t>Sivirú, Usaragá, Pizarro y Pilizá (SUPP) REDD+ Project</t>
  </si>
  <si>
    <t>SUPP REDD+ Project</t>
  </si>
  <si>
    <t>The project objectives are threefold: (i) to mitigate climate change by reducing deforestation and forest
degradation, and natural recuperation of already degraded forest lands; (ii) contribute to biodiversity conservation including High Conservation Values, and, (iii) foster sustainable development of local communities. Following is a more detailed description of each objective</t>
  </si>
  <si>
    <t>Department of Chocó, Colombia. 4 discrete plots; coordinates are for center of Pizarro as according to PDD</t>
  </si>
  <si>
    <t>-077.318611</t>
  </si>
  <si>
    <t>0004.960000</t>
  </si>
  <si>
    <t>Municipality : Bajo Baudó</t>
  </si>
  <si>
    <t>https://registry.verra.org/mymodule/ProjectDoc/Project_ViewFile.asp?FileID=41980&amp;IDKEY=n8723kjnf7kjandsaslmdv09887vaksmrmnwqkjoiuanfnfuq0q57890420</t>
  </si>
  <si>
    <t>https://registry.verra.org/mymodule/ProjectDoc/Project_ViewFile.asp?FileID=45647&amp;IDKEY=a98klasmf8jflkasf8098afnasfkj98f0a9sfsakjflsakjf8dj62947213</t>
  </si>
  <si>
    <t>http://www.climate-standards.org/2014/10/14/siviru-usaraga-pizarro-y-piliza-project-supp/
https://registry.verra.org/app/projectDetail/VCS/1391
https://registry.verra.org/app/projectDetail/CCB/1391</t>
  </si>
  <si>
    <t>training and technical assistance in agriculture and fisheries, harvesting equipment, processing plants, and value chains |  (</t>
  </si>
  <si>
    <t>Environmental awareness |  the project will support on-going workshops and awareness campaigns to increase awareness about the project</t>
  </si>
  <si>
    <t>planting of seeds for community-based planting, nursery and restoration programs |  community members, who will take care of planting, maintenance, and enhancement of existing agricultural plots to be part of the project activities.</t>
  </si>
  <si>
    <t>maintain social investments (i.e. health facilities, education and housing) |  Education, specifically the construction, endowment and operation of school infrastructure and equipment |  Access to electricity,</t>
  </si>
  <si>
    <t xml:space="preserve">maintain social investments (i.e. health facilities, education and housing, water treatment). Health, specifically the construction, provisioning and staffing of primary health care centers | </t>
  </si>
  <si>
    <t>Bajo Calima y Bahía Málaga (BC-BM) REDD+ Project</t>
  </si>
  <si>
    <t>The project objectives are threefold: (i) to mitigate climate change by reducing deforestation and forest
degradation, and recuperation of already degraded forest lands |  (ii) contribute to biodiversity conservation
including High Conservation Values, and, (iii) foster sustainable development of local communities. Following is a more detailed description of each objective.</t>
  </si>
  <si>
    <t xml:space="preserve">Industrial timber extraction | illegal logging | industrial agriculture or cattle ranching | cattle grazing </t>
  </si>
  <si>
    <t>La Sierpe Regional Nature Park</t>
  </si>
  <si>
    <t>The project area is located in the collective territories of Bajo Calima and La Plata-Bahía Málaga in the Pacific coastal municipality of
Buenaventura, in the Department of Valle de Cauca. 2 plots with coordinates for center of larger plot, Bajo Calima</t>
  </si>
  <si>
    <t>Department : Valle de Cauca</t>
  </si>
  <si>
    <t>https://registry.verra.org/mymodule/ProjectDoc/Project_ViewFile.asp?FileID=35662&amp;IDKEY=k8723kjnf7kjandsaslmdv09887vaksmrmnwqkjoiuanfnfuq0o49177898</t>
  </si>
  <si>
    <t>https://registry.verra.org/mymodule/ProjectDoc/Project_ViewFile.asp?FileID=45710&amp;IDKEY=jkjalskjf098234kj28098sfkjlf098098kl32lasjdflkj909d63034090</t>
  </si>
  <si>
    <t>https://registry.verra.org/mymodule/ProjectDoc/Project_ViewFile.asp?FileID=45919&amp;IDKEY=flksjoiuwqowrnoiuomnckjashoufifmln902309ksdflku098i63322301</t>
  </si>
  <si>
    <t xml:space="preserve">Strengthening of Land-tenure Status |  supports land tenure policies so that people have rights to own and manage natural resources responsibly | </t>
  </si>
  <si>
    <t>ACAPA – Bajo Mira y Frontera (ACAPA-BMF) REDD+ Project</t>
  </si>
  <si>
    <t>Acapa - Bajo Mira Y Frontera REDD+ Project; CONSEJOS COMUNITARIOS DE ACAPA, CONSEJOS COMUNITARIOS DE BAJO MIRA Y FRONTERA</t>
  </si>
  <si>
    <t>he project objectives are threefold: (i) to mitigate climate change by reducing deforestation and forest
degradation, and recuperation of already degraded forest lands; (ii) contribute to biodiversity conservation
including High Conservation Values, and, (iii) foster sustainable development of local communities. Following is a more detailed description of each objective.</t>
  </si>
  <si>
    <t>Department of Nariño, Colombia. 2 plots, coordinates are for center of the larger plot, Bajo Mira y Frontera, according to PDD</t>
  </si>
  <si>
    <t>-078.892778</t>
  </si>
  <si>
    <t>0001.642778</t>
  </si>
  <si>
    <t>Department : Nariño</t>
  </si>
  <si>
    <t>Municipality : Tumaco</t>
  </si>
  <si>
    <t>http://www.climate-standards.org/2014/10/14/acapa-bajo-mira-y-frontera-project-acapa-bmf/</t>
  </si>
  <si>
    <t>https://registry.verra.org/mymodule/ProjectDoc/Project_ViewFile.asp?FileID=45652&amp;IDKEY=a8723kjnf7kjandsaslmdv09887vaksmrmnwqkjoiuanfnfuq0m62954108</t>
  </si>
  <si>
    <t>http://www.climate-standards.org/2014/10/14/acapa-bajo-mira-y-frontera-project-acapa-bmf/
https://registry.verra.org/app/projectDetail/VCS/1389
https://registry.verra.org/app/projectDetail/CCB/1389</t>
  </si>
  <si>
    <t>REDD+ Project Resguardo Indígena Unificado de la Selva de Matavén (RIU-SM)</t>
  </si>
  <si>
    <t>RIU SM</t>
  </si>
  <si>
    <t>The REDD+ Project Resguardo Indígena Unificado–Selva de Mataven (REDD+ RIU-SM) aims to develop a participatory process to achieve the establishment of a integrated management system of forests and lands of the reserve, to ensure its sustainability and to mitigate threats of its conservation, particularly avoiding deforestation through the implementation of a REDD+ Project (Reducing Emissions from Deforestation and Forest Degradation + conserving carbon stocks, sustainable management of forests and enhancement of forest reserves in developing countries) that allows providing compensation payments for ecosystem services.</t>
  </si>
  <si>
    <t>biodiversity conservation, conservation/restoration</t>
  </si>
  <si>
    <t>industrial agriculture or cattle ranching, local livelihoods, mining</t>
  </si>
  <si>
    <t>The Indigenous Reservation is located east of the high plain Orinoco colombian region in the transition belt between the savannas of the Orinoco and the Amazon forests, in the eastern part of the Department of Vichada, in the municipality of Cumaribo.</t>
  </si>
  <si>
    <t>-068.868802</t>
  </si>
  <si>
    <t>0004.089561</t>
  </si>
  <si>
    <t>Department : Vichada</t>
  </si>
  <si>
    <t>Municipality : Cumaribo</t>
  </si>
  <si>
    <t>Above ground biomass</t>
  </si>
  <si>
    <t>https://registry.verra.org/mymodule/ProjectDoc/Project_ViewFile.asp?FileID=21324&amp;IDKEY=i8723kjnf7kjandsaslmdv09887vaksmrmnwqkjoiuanfnfuq0729405796</t>
  </si>
  <si>
    <t>Project PDD:
https://registry.verra.org/app/projectDetail/VCS/1566</t>
  </si>
  <si>
    <t>â€œStrategic Element 4: Implement actions for food security of communities in Heterogeneous Agricultural Areas (HAA) y Grasslandes (known in the Indigenous Reserve as "conucos") in areas of Savannah and in some areas of natural regeneration. These shares can be agro-forestry and pasture systems, which provide food (plant and animal) and wood products from plantations with native species in combination with agricultural crops or livestock systems. These systems can be a source of small timber for building houses, fences, barns and other facilities that are required by the RIU-SM, so that they can replace those from secondary forests and ensure that these forests can be transformed to primary forests.â€</t>
  </si>
  <si>
    <t>800 graduated high school students have started their training and educational programs for the integral-sustainable management of forests and lands of the</t>
  </si>
  <si>
    <t>Activity A1.1: To monitor and to control the conservation and recovery of forests and lands of the RIU-SM.Approximately 600 indigenous guards patrol the territory to apply the surveillance, control and monitoring of forests of the RIU-SM</t>
  </si>
  <si>
    <t>The Mai N'dombe REDD+ Project</t>
  </si>
  <si>
    <t>The Mai Ndombe REDD+ Project; Mai Ndombe REDD Project</t>
  </si>
  <si>
    <t>Congo, the Democratic Republic of the</t>
  </si>
  <si>
    <t>The project aims to address logging and the other leading drivers of deforestation - subsistence agricultural practices and aggressive fuelwood/charcoal use. Project activities will consist largely of participatory community-based conservation initiatives which will reduce local incentives toward unsustainable land use, with emphasis on agricultural improvements.</t>
  </si>
  <si>
    <t>return on investment</t>
  </si>
  <si>
    <t>charcoal production, energy wood, industrial wood exploitation, local livelihoods, slash and burn agriculture</t>
  </si>
  <si>
    <t>Inongo Territory in the Mai-Ndombe Lake District in the Bandundu Province</t>
  </si>
  <si>
    <t>0018.106200</t>
  </si>
  <si>
    <t>-002.045000</t>
  </si>
  <si>
    <t>Africa</t>
  </si>
  <si>
    <t>Province : Maï Ndombe</t>
  </si>
  <si>
    <t>Territory : Inongo</t>
  </si>
  <si>
    <t>2011-2036</t>
  </si>
  <si>
    <t>Soil organic carbon | Other</t>
  </si>
  <si>
    <t>Above ground merchantable tree, Above ground non-merchantable tree, Below ground merchantable tree, Below-ground non-merchantable tree</t>
  </si>
  <si>
    <t>https://registry.verra.org/mymodule/ProjectDoc/Project_ViewFile.asp?FileID=44881&amp;IDKEY=3903q4jsafkasjfu90amnmasdfkaidflnmdf9348r09dmfasdfa61890899</t>
  </si>
  <si>
    <t>http://www.climate-standards.org/2012/09/03/mai-ndombe-redd-project/</t>
  </si>
  <si>
    <t>http://www.climate-standards.org/2012/09/03/mai-ndombe-redd-project/;
https://vcsprojectdatabase2.apx.com/myModule/Interactive.asp?Tab=Projects&amp;a=2&amp;i=934&amp;lat=-1.659042&amp;lon=17.893816&amp;bp=1;
http://www.eraecosystems.com/projects/mai-ndombe-redd/;
On the first carbon transaction (Feb. 2013): http://www.offsetters.ca/media-centre/investor-relations/2013/02/01/era-carbon-offsets-announces-significant-first-sale-and-delivery-of-offsets-from-mai-ndombe-redd-project-in-the-DRC;
https://registry.verra.org/app/projectDetail/CCB/934</t>
  </si>
  <si>
    <t>Employer pays a statutory contribution for every employee who is a member</t>
  </si>
  <si>
    <t>50-100</t>
  </si>
  <si>
    <t xml:space="preserve">involve building the local capacities of communities through workshops and information sessions | </t>
  </si>
  <si>
    <t>Tree nursery: 13,000 Acacia and Leucana planted. Enclosures: over 40 were put in place. Demonstration gardens: ok |  Agricultural improvement and diversification activities that increase food availability and sustain economies |  established agroforestry</t>
  </si>
  <si>
    <t>Education workshops, Topics include sustainable management of forest resources and causes and impacts of climate change</t>
  </si>
  <si>
    <t>project area from deforestation by stopping planned legal and reducing unplanned illegal logging</t>
  </si>
  <si>
    <t>Plantations established in degraded areas in order to provide fuel wood to communities within the project area.</t>
  </si>
  <si>
    <t>Schools: 2 out of 19 are almost completed |  establishment of a mobile medical clinic and repaired health care centers</t>
  </si>
  <si>
    <t>establishment of a mobile medical clinic and repaired health care centers</t>
  </si>
  <si>
    <t>Xe Pian National Park REDD+ project</t>
  </si>
  <si>
    <t>Lao People's Democratic Republic</t>
  </si>
  <si>
    <t>The project aims to protect one of Lao's biodiversity hotspot and to increase knowledge of REDD+ among local and regional staff, administration and communities. 
Project activities will include Project law enforcement, increased patrolling, land use planning, and reforestation.</t>
  </si>
  <si>
    <t>illegal logging, industrial agriculture or cattle ranching, local livelihoods</t>
  </si>
  <si>
    <t>Xe Pian National Protected Area</t>
  </si>
  <si>
    <t>6</t>
  </si>
  <si>
    <t>Champasak Province; Attapeu Province. Coordinates provided by APX VCS website</t>
  </si>
  <si>
    <t>state and communities</t>
  </si>
  <si>
    <t>0106.028610</t>
  </si>
  <si>
    <t>0014.690832</t>
  </si>
  <si>
    <t>Provinces : Champasak and Attapeu</t>
  </si>
  <si>
    <t>Districts:  Pathoumphone, Khong, Sanamxay</t>
  </si>
  <si>
    <t>intended</t>
  </si>
  <si>
    <t>https://registry.verra.org/mymodule/ProjectDoc/Project_ViewFile.asp?FileID=22138&amp;IDKEY=j98klasmf8jflkasf8098afnasfkj98f0a9sfsakjflsakjf8dk30528302</t>
  </si>
  <si>
    <t>http://theredddesk.org/countries/initiatives/redd-pilot-project-xe-pian-npa;
 http://www.forestcarbonasia.org/wp-content/uploads/2012/06/FINAL-Annual-review-of-REDD+-activities-in-Lao-PDR-2011.pdf;
 http://www.forestcarbonportal.com/project/xepian;
http://awsassets.panda.org/downloads/xe_pian_redd__final.pdf
https://vcsregistry2.apx.com/mymodule/ProjectDoc/EditProjectDoc.asp?id1=1073</t>
  </si>
  <si>
    <t>Unclear</t>
  </si>
  <si>
    <t>Payments for environmental services</t>
  </si>
  <si>
    <t>Sustained rural livelihoods and income generation (e.g. Developing strategy and support its implementation to better target intensification by extension services)</t>
  </si>
  <si>
    <t>Preparation and implementation of participatory land use plans and communal forest management plans</t>
  </si>
  <si>
    <t>Increase Environmental Education in schools â€“ expeditions, trips to the park offered by schools in Pakse for example |  Awareness raising and Capacity Building in the villages within and outside the NPA and information material (leaflets, broschures, etc.) for tourists that is available in hotels and tourist offices e.g. of Pakse, etc.</t>
  </si>
  <si>
    <t xml:space="preserve">Improved law enforcement and patrolling |  Improvement of park zoning | </t>
  </si>
  <si>
    <t>Enrichment Planting in degraded areas and reforestation in the leakage management areas</t>
  </si>
  <si>
    <t>Contribute to set-up of necessary protected area infrastructure</t>
  </si>
  <si>
    <t>Reduced Emissions from Deforestation in the Ankeniheny-Zahamena Corridor (CAZ) Protected Area, Madagascar</t>
  </si>
  <si>
    <t>Carbon Emissions Reduction Project in the Corridor Ankeniheny-Zahamena (CAZ) Protected Area, Madagascar; Mantadia Corridor REDD-AR initiative</t>
  </si>
  <si>
    <t>2028</t>
  </si>
  <si>
    <t>The project aims to reduce deforestation of primary Malagasy forest by creating a corridor to protect the remaining native forests between the Zahamena National Park and the forests collectively known as “Ankeniheny” in central eastern Madagascar.In addition to protecting forest and stocked carbon, CAZ will protect one of the planet’s most important sites for biodiversity conservation.</t>
  </si>
  <si>
    <t>local livelihoods, slash and burn agriculture</t>
  </si>
  <si>
    <t>ecosystem restoration</t>
  </si>
  <si>
    <t>Ankeniheny-Zahamena Corridor</t>
  </si>
  <si>
    <t>central eastern forests of Madagascar</t>
  </si>
  <si>
    <t>state, private and communities</t>
  </si>
  <si>
    <t>0048.833333</t>
  </si>
  <si>
    <t>-017.666667</t>
  </si>
  <si>
    <t>Region : Haute Matsiatra</t>
  </si>
  <si>
    <t>District: d’Ambohimahasoa</t>
  </si>
  <si>
    <t>2008-2018</t>
  </si>
  <si>
    <t>https://registry.verra.org/mymodule/ProjectDoc/Project_ViewFile.asp?FileID=36518&amp;IDKEY=liquwesdfmnk0iei23nnm435oiojnc909dsflk9809adlkmlkfi50358322</t>
  </si>
  <si>
    <t>https://vcsprojectdatabase2.apx.com/myModule/Interactive.asp?Tab=Projects&amp;a=2&amp;i=1311&amp;lat=-17.8067926131&amp;lon=48.8363451339&amp;bp=1
Former PDD (used to provide most of the data in july, 2013); http://www.conservation.org/where/africa_madagascar/madagascar/projects/Pages/ankeniheny-zahamena_corridor_madagascar.aspx;</t>
  </si>
  <si>
    <t>Conservation agreements provide direct payments to individuals working on conservation and monitoring activities and community benefits through development projects chosen by the communities | Small Grants Programme to promote new activities (135 yet)</t>
  </si>
  <si>
    <t>trainings in agricultural techniques,</t>
  </si>
  <si>
    <t>agriculture | agroforestry | conservation agriculture | ecotourism</t>
  </si>
  <si>
    <t xml:space="preserve">fruit garden - under cover crops, introduction of new crops | </t>
  </si>
  <si>
    <t>Tenure clarification not mentioned</t>
  </si>
  <si>
    <t>The project area within the strict conservation zone.</t>
  </si>
  <si>
    <t>Tree nursery establishment for restoration or wood lots</t>
  </si>
  <si>
    <t>Infrastructure development not described</t>
  </si>
  <si>
    <t>health-population-environment (HPE) program</t>
  </si>
  <si>
    <t>The GNR REDD Project</t>
  </si>
  <si>
    <t>2031</t>
  </si>
  <si>
    <t>The GNR REDD Project is a REDD project, developed in the buffer zone of the Gilé National Reserve in
Mozambique, Zambezia Province. The GNR is managed by the ANAC (Administração Nacional das
Areas de Conservação – the national public agency responsible for the management of protected areas),
which is therefore the project proponent. In order to reduce deforestation, the GNR REDD project is developing several activities: 1) Creation of the reserve buffer zone; 2) Conservation activities inside the reserve, including monitoring by rangers; 3) Difusion of agro-ecology practices in the villages in the buffer zone; 4) Improvement of cashew conservation and value chain.</t>
  </si>
  <si>
    <t>charcoal production, illegal logging, local livelihoods, slash and burn agriculture</t>
  </si>
  <si>
    <t>dry</t>
  </si>
  <si>
    <t>Buffer zone of the Gilé National Reserve in Mozambique, Zambezia Province</t>
  </si>
  <si>
    <t>0038.333569</t>
  </si>
  <si>
    <t>-016.622393</t>
  </si>
  <si>
    <t>Province : Zambezia</t>
  </si>
  <si>
    <t>Districts: Gilé and Pebane</t>
  </si>
  <si>
    <t>2011-2031</t>
  </si>
  <si>
    <t>file:///C:/Users/Anne/Downloads/DRAFT_PROJ_DESC_PL1674_02MAR2017.pdf</t>
  </si>
  <si>
    <t>withdrawn</t>
  </si>
  <si>
    <t>Draft VCS PDD and Draft CCB PDD: https://registry.verra.org/app/projectDetail/VCS/1674
https://registry.verra.org/app/projectDetail/CCB/1674</t>
  </si>
  <si>
    <t xml:space="preserve"> The project provide income generation through employment</t>
  </si>
  <si>
    <t>Development of agro-ecology techniques. Improvement of cashew tree cultivation and of the value chain to help producers improving quality and quantity produced and to furnish a better price.Crops will be better protected with adapted elephant scaring techniques in order to reduce the vulnerability of households with regards to elephants' infringement on their fields.</t>
  </si>
  <si>
    <t>agriculture | tree planting</t>
  </si>
  <si>
    <t>The delimitations of the Buffer Zone (project area) were jointly defined by Communities after consultations in 2008. However, in the project zone, no conflict on land tenure or resources availability has been reported or recorded since the Civil war (1976-1992).</t>
  </si>
  <si>
    <t>Activities to raise awareness on deforestation issues and on its impacts on Communities' livelihood (access to clear water, lack of TFPs and NTFPs, future agricultural necessities, etc.</t>
  </si>
  <si>
    <t>Establishment of a buffer zone with several rules regarding natural resource use and monitoring of the activities inside the Gilé reserve. Anti-poaching measures will allow to fight against illegal logging and poaching of non-authorized species for bushmeat of ivory. Deforestation and fires monitoring.</t>
  </si>
  <si>
    <t>The GNR management plan to work participatively with communities for better NTFPs management, management of fires in the reserve to decrease their impact, and elimination of destructive hunting techniques illegal logging and mining.</t>
  </si>
  <si>
    <t>Reduction of deforestation and degradation in Tambopata National Reserve and Bahuaja-Sonene National Park within the area of Madre de Dios region –Peru</t>
  </si>
  <si>
    <t>Tambopata project</t>
  </si>
  <si>
    <t>The project proposes to reduce pressure to change land-use at the ANPs (Natural Proected Area) Buffer Zone by promoting sustainable economic activities and
establishing conservation agreements at previously identified critical areas. Both actions are looking forward to consolidate a “barrier” against expansion of economic frontier (agricultural and mining activities), with alliance and permanent coordination with institutions that are currently doing conservation activities in the area. Additionally, control and surveillance system will be strengthened, even more on conformation and operation of community committees of surveillance with official recognition, as a strategy for local communities to participate in ANPs management. The project will provide technical support to regional forest authority and National Service of Natural Protected Areas –SERNANP for forest and
environmental governance of Madre de Dios region, enhancing State participation on ANPs and optimizing coordination and collaboration between authorities and local population on ANPs management.</t>
  </si>
  <si>
    <t>infrastructure, local livelihoods, mining</t>
  </si>
  <si>
    <t>Reserva Nacional Tambopata and Bahuaja-Sonene National Park</t>
  </si>
  <si>
    <t>Madre de Dios department, Tampopata province, Inambari and Tambopata districts. KML file on VCS</t>
  </si>
  <si>
    <t>-069.537872</t>
  </si>
  <si>
    <t>-012.689883</t>
  </si>
  <si>
    <t>Department : Madre de Dios</t>
  </si>
  <si>
    <t>Province : Tampopata</t>
  </si>
  <si>
    <t>2010-2030</t>
  </si>
  <si>
    <t>https://registry.verra.org/mymodule/ProjectDoc/Project_ViewFile.asp?FileID=38432&amp;IDKEY=00e98hfalksuf098fnsdalfkjfoijmn4309JLKJFjlaksjfla9f52997728</t>
  </si>
  <si>
    <t>https://registry.verra.org/mymodule/ProjectDoc/Project_ViewFile.asp?FileID=35468&amp;IDKEY=f98klasmf8jflkasf8098afnasfkj98f0a9sfsakjflsakjf8df48910372</t>
  </si>
  <si>
    <t>http://www.aider.com.pe/proyectos.html;
http://www.climate-standards.org/2010/11/16/reduccion-de-la-deforestacion-y-degradacion-en-la-reserva-nacional-tambopata-y-en-el-parque-nacional-bahuaja-sonene-del-ambito-de-la-region-madre-de-dios-peru/;
PDD CBB: https://s3.amazonaws.com/CCBA/Projects/Proyecto_Reduccion_de_la_deforestation_y_degradacion_en_la_Reserva_Nacional_Tambopata_y_en_el_Parque_Nacional_Bahuaja_Sonene_del_ambito_de_la_region_Madre_de_Dios_en_Peru/AIDER+CCB+valid+Exh+PDD+11+SPA.pdf;
https://registry.verra.org/app/projectDetail/VCS/1067</t>
  </si>
  <si>
    <t>compensation mechanisms for environmental services</t>
  </si>
  <si>
    <t>technical training, etc.</t>
  </si>
  <si>
    <t>agroforestry | ecotourism | processing and commercialization | sustainable mining activities</t>
  </si>
  <si>
    <t>3 hotels in the area+ 13 in the buffer zone</t>
  </si>
  <si>
    <t>conserve forests from both NPAs against deforestation imminent advance.</t>
  </si>
  <si>
    <t>Biocorridor Martin Sagrado REDD+ Project</t>
  </si>
  <si>
    <t>BIOCORREDOR MARTIN SAGRADO REDD+ PROJECT</t>
  </si>
  <si>
    <t>2090</t>
  </si>
  <si>
    <t>This Martin Sagrado project supports indeed sustainable forest management, agro-forestry, non timber activities and livelihood development in the reserve by providing financing through carbon credits generated from forest protection and regeneration. The project creates a 80-year income stream that will directly enhance household livelihoods and natural resource management capacity.</t>
  </si>
  <si>
    <t>industrial agriculture or cattle ranching, industrial wood exploitation, infrastructure, local livelihoods, mining</t>
  </si>
  <si>
    <t>agroforestry</t>
  </si>
  <si>
    <t>San Martin province. Coordinates fro approx. center of project according to KML file</t>
  </si>
  <si>
    <t>-077.199220</t>
  </si>
  <si>
    <t>-007.067390</t>
  </si>
  <si>
    <t>Region : San Martin</t>
  </si>
  <si>
    <t>Province : Chuquibamba and Bolivar</t>
  </si>
  <si>
    <t>2010-2050</t>
  </si>
  <si>
    <t>https://registry.verra.org/mymodule/ProjectDoc/Project_ViewFile.asp?FileID=39121&amp;IDKEY=898klasmf8jflkasf8098afnasfkj98f0a9sfsakjflsakjf8d953947859</t>
  </si>
  <si>
    <t>https://registry.verra.org/mymodule/ProjectDoc/Project_ViewFile.asp?FileID=39123&amp;IDKEY=flksjoiuwqowrnoiuomnckjashoufifmln902309ksdflku098k53950617</t>
  </si>
  <si>
    <t>IGES table ; PDD; VCS validation report; website; interview of Céline Girard (Pur Projet)
https://vcsprojectdatabase2.apx.com/myModule/Interactive.asp?Tab=Projects&amp;a=2&amp;i=958&amp;lat=-7.159058&amp;lon=-77.105852&amp;bp=1 (not accessible as of September 2020)
http://www.climate-standards.org/2012/01/10/biocorridor-martin-sagrado-redd-project/;
https://registry.verra.org/app/projectDetail/VCS/958</t>
  </si>
  <si>
    <t>payment for forest guard jobs</t>
  </si>
  <si>
    <t>Education centres to train and transmit scientific information to local communities as well as training professional specializing in biology, forest management, environmental education, etc.</t>
  </si>
  <si>
    <t>agroforestry | ecotourism | micro-credits | processing and commercialization</t>
  </si>
  <si>
    <t xml:space="preserve">25 full time jobs that will be necessary for patrolling and control activities | </t>
  </si>
  <si>
    <t>stabilizing project boundaries</t>
  </si>
  <si>
    <t>raising communities awareness on forests</t>
  </si>
  <si>
    <t>regular patrolling to prevent illegal forest activities |  controlling drivers of deforestation and degradation in the project areas</t>
  </si>
  <si>
    <t>reforestation activity aims at lowering the pressure of agriculture on surrounding forest (yield increase). The project will also conduct Assisted Natural Regeneration within the project area to re-enrich degraded areas with native species.</t>
  </si>
  <si>
    <t>school support and health</t>
  </si>
  <si>
    <t>Alto Mayo REDD+ Initiative</t>
  </si>
  <si>
    <t>The project seeks to avoid deforestation by implementing a broad range of strategies within the Bosque de Proteccion Alto Mayo(protected area since 1987) and its buffer area. These include working to improve governance and enforcement capabilities of the AMPF head office; promoting sustainable land use by implementing conservation agreements with settlers; increasing environmental awareness and involvement of local populations; providing for the long term financial sustainability of the protected forest; working to integrate project activities into regional development planning.</t>
  </si>
  <si>
    <t>industrial agriculture or cattle ranching, infrastructure, local livelihoods</t>
  </si>
  <si>
    <t>Alto Mayo Forest</t>
  </si>
  <si>
    <t>Alto Mayo Protected Forest. Coordinates are for approx. center of plot according to KML file</t>
  </si>
  <si>
    <t>-077.331500</t>
  </si>
  <si>
    <t>-005.643200</t>
  </si>
  <si>
    <t>Province : Rioja and  Moyobamba</t>
  </si>
  <si>
    <t>2008-2028</t>
  </si>
  <si>
    <t>12/15/2016; 07/12/2020</t>
  </si>
  <si>
    <t>https://registry.verra.org/mymodule/ProjectDoc/Project_ViewFile.asp?FileID=41840&amp;IDKEY=kkjalskjf098234kj28098sfkjlf098098kl32lasjdflkj909f57697360; https://registry.verra.org/mymodule/ProjectDoc/Project_ViewFile.asp?FileID=49847&amp;IDKEY=w8723kjnf7kjandsaslmdv09887vaksmrmnwqkjoiuanfnfuq0d68739013</t>
  </si>
  <si>
    <t>https://registry.verra.org/mymodule/ProjectDoc/Project_ViewFile.asp?FileID=40482&amp;IDKEY=slksjoiuwqowrnoiuomnckjashoufifmln902309ksdflku098w55824678</t>
  </si>
  <si>
    <t>PDD; VCS validation report; Forest Carbon Portal;
http://www.climate-standards.org/2012/06/22/alto-mayo-conservation-initiative/
https://vcsprojectdatabase2.apx.com/myModule/Interactive.asp?Tab=Projects&amp;a=2&amp;i=944&amp;lat=-6.185519833&amp;lon=-77.199584408&amp;bp=1 (not accessible as of September 2020);
https://registry.verra.org/app/projectDetail/VCS/944</t>
  </si>
  <si>
    <t>payment of environmental services</t>
  </si>
  <si>
    <t>each participating settler within the AMPF receives regular technical assistance by qualified professionals in organic coffee production. They are also provided materials, tools, and equipment</t>
  </si>
  <si>
    <t>development of sustainable economic activities</t>
  </si>
  <si>
    <t xml:space="preserve">Awareness program |  Youth Environmental Education through environmental education programs at local schools | </t>
  </si>
  <si>
    <t>patrolling activities</t>
  </si>
  <si>
    <t>restoration of previously degraded lands</t>
  </si>
  <si>
    <t>construction of roads</t>
  </si>
  <si>
    <t>public health campaigns and the provision of school supplies are also included in the agreements</t>
  </si>
  <si>
    <t>Madre de Dios Amazon REDD Project</t>
  </si>
  <si>
    <t>2046</t>
  </si>
  <si>
    <t>The Madre de Dios Amazon REDD Project consists of 100.000 hectares of rainforest, located in the Peruvian Amazon, only 400 km from the historic sanctuary of Machu Picchu, the “Lost City of the Incas”. The area is located less than 30 km to the side of the new inter-oceanic road that has recently united Brazil with the Peruvian ports. The project is within the region that belongs to the Ecological Corridor Vilcabamba-Amboró, one of the world’s greatest biodiversity hotspots.
This project will dramatically reduce deforestation in the Peruvian Amazon and protect the habitat of endangered species and the livelihood of local indigenous communities who rely on the forest for their survival.</t>
  </si>
  <si>
    <t>Protection of Indigenous Peoples</t>
  </si>
  <si>
    <t>illegal logging, Transient agriculture</t>
  </si>
  <si>
    <t>Hydrographic basin of the Acre River, Iñapari district, Tahuamanu province in the Madre de Dios department in the Peruvian Amazon. Coordinates set for approx. center of plot according to KML file</t>
  </si>
  <si>
    <t>-070.050486</t>
  </si>
  <si>
    <t>-011.075057</t>
  </si>
  <si>
    <t>Region : Madre de Dios</t>
  </si>
  <si>
    <t>Province : Tahuamanu</t>
  </si>
  <si>
    <t>2009-2046</t>
  </si>
  <si>
    <t>https://registry.verra.org/mymodule/ProjectDoc/Project_ViewFile.asp?FileID=41258&amp;IDKEY=90e98hfalksuf098fnsdalfkjfoijmn4309JLKJFjlaksjfla956894782</t>
  </si>
  <si>
    <t>https://registry.verra.org/mymodule/ProjectDoc/Project_ViewFile.asp?FileID=41981&amp;IDKEY=0iquwesdfmnk0iei23nnm435oiojnc909dsflk9809adlkmlkfk57891799</t>
  </si>
  <si>
    <t>IGES;PDD;CCB report;site VCS;
http://www.prnewswire.com/news-releases/peruvian-rainforest-protection-to-be-funded-by-madre-de-dios-amazon-redd-project-verified-by-scs-global-services-212989951.html;
http://www.climate-standards.org/2009/06/08/madre-de-dios-amazon-redd-project/;
https://vcsprojectdatabase2.apx.com/myModule/Interactive.asp?Tab=Projects&amp;a=2&amp;i=844&amp;lat=-11.177661&amp;lon=-69.830391&amp;bp=1 (not accessible as of September 2020);
https://registry.verra.org/app/projectDetail/VCS/844</t>
  </si>
  <si>
    <t>An annual fee for the right of use must be paid, during the term of the agreement 37 . Tourism activities or the use of environmental services that the concessionaire carries out within the concessions area is included in this single annual payment</t>
  </si>
  <si>
    <t>Inputs: support to communities through vaccines, medicines, school supplies, hiring teachers and permanent nurse, construction of handicraft center for women of the Yine tribe, motor boat for transport during the rainy months, etc. Payment of FSC certification to the forests of indigenous communities. Multiple training in crafts, ecotourism, security, etc.</t>
  </si>
  <si>
    <t>fishing | other</t>
  </si>
  <si>
    <t>selection of environmentally friendly productive projects | Training in Agroforestry and Silvopasture, ecoturism, Shiringa management, fish farms</t>
  </si>
  <si>
    <t>the verifier team confirmed, on a sample basis, that no disputes over land tenure or ownership exist within the project area</t>
  </si>
  <si>
    <t>Talks, workshops, working days with local communities.</t>
  </si>
  <si>
    <t>Physical delimitation of project boundaries, checkpoints, monitoring patrols, satellite image control</t>
  </si>
  <si>
    <t>More studies on the regeneration of different species, delimitation of permanent conservation areas, improvement of water quality, forest operations, biodiversity studies, etc.</t>
  </si>
  <si>
    <t>New well, new craft center, repair of roads and bridges every year.</t>
  </si>
  <si>
    <t>Multiple training and collaborations on health and education issues. Payment of a new water well for the communities. Hiring of teachers, nurses, construction of schools, craft centers, crafts sales training, in design, in the development of eco-tourism projects, in accounting, etc.</t>
  </si>
  <si>
    <t>REDD Project in the Cordillera Azul National Park</t>
  </si>
  <si>
    <t>2018</t>
  </si>
  <si>
    <t>Peru’s Cordillera Azul National Park is a natural protected area created in 2001 with a core zone totaling 1.35 million ha and a buffer zone of 2.3 million ha. Since 2003, CIMA, with collaboration from The Field Museum, has implemented a series of measures designed to protect the Park, including developing a viable Park management infrastructure, stabilizing land use and tenure in the buffer zone by working with local communities and officials, and collaborating with regional and national government to design more biodiversity-compatible development strategies (including preventing a road from crossing through the northern section of the Park). These actions have led to effective protection of the Park and its ample and valuable biodiversity. Moreover, the protective actions of CIMA  have led to a significant reduction in the emissions of greenhouse gases through prevention of deforestation. CIMA has been working since 2006 to develop a REDD project to ensure long-term funding of critical Park management activities.</t>
  </si>
  <si>
    <t>illegal logging, industrial agriculture or cattle ranching, industrial wood exploitation, local livelihoods, oil extraction</t>
  </si>
  <si>
    <t>Cordillera Azul National Park</t>
  </si>
  <si>
    <t>2</t>
  </si>
  <si>
    <t>San Martín, Ucayali, Huánuco, and Loreto. Coordinates are for approx center of project according to KML file</t>
  </si>
  <si>
    <t>-076.093000</t>
  </si>
  <si>
    <t>-007.817000</t>
  </si>
  <si>
    <t>Regions : San Martín, Ucayali, Huánuco, and Loreto</t>
  </si>
  <si>
    <t>Provinces: Bellavista, Picota, San Martin, Ucayali,  Padre Abad, and Leoncio Prado</t>
  </si>
  <si>
    <t>Common practice analysis | Investment analysis | Other</t>
  </si>
  <si>
    <t>https://registry.verra.org/app/projectDetail/VCS/985</t>
  </si>
  <si>
    <t>http://theredddesk.org/countries/initiatives/cordillera-azul-national-park-redd-project;
http://www.climate-standards.org/2012/09/20/cordillera-azul-national-park-redd-project/;
https://s3.amazonaws.com/CCBA/Projects/Cordillera_Azul_National_Park_REDD_project/PNCAZPDDrevDec192012_022113.pdf
https://vcsprojectdatabase2.apx.com/myModule/Interactive.asp?Tab=Projects&amp;a=2&amp;i=985&amp;lat=-6.487027&amp;lon=-75.347858&amp;bp=1</t>
  </si>
  <si>
    <t>Access to technical assistance with agroforestry projects and environmental education has provided the beginning of a pathway for sustainable livelihood for those participants.</t>
  </si>
  <si>
    <t>agroforestry | ecotourism</t>
  </si>
  <si>
    <t>ecotourism |  management and restoration of flora and fauna |  habitat restoration |  agroforestry projects |  Conservation areas</t>
  </si>
  <si>
    <t>The design of the project, including the government’s commitment discussed above and the project activities--emphasizing land tenure and sustainable land-use practices in the surrounding areas, and the creation of an endowment to ensure continued funding for park management activities well after the project’s end--serve to ensure the project’s benefits last beyond the project’s lifetime.</t>
  </si>
  <si>
    <t>have begun to develop community level norms for resource use |  are creating their own protected resource areas within community or municipal boundaries</t>
  </si>
  <si>
    <t>Evio Kuiñaje Ese Eja Cuana to mitigate climate change, Madre de Dios- Perú</t>
  </si>
  <si>
    <t>EVIO KUIÑAJE ESE EJA CUANA, FOREST
MANAGEMENT TO MITIGATE CLIMATE
CHANGE, NATIVE COMMUNITY ESE EJA
INFIERNO, MADRE DE DIOS - PERÚ</t>
  </si>
  <si>
    <t>The project will retain 7,750 hectares of rainforest belonging to the Ese Eja Native Community of Infierno. The purpose is to conserve the community forests and the ecotourism concession, from the advance of deforestation.
The project plans to reduce the pressure to change of land-use through the promotion of sustainable economic activities, forest governance and the establishment of conservation agreements in critical areas previously identified.</t>
  </si>
  <si>
    <t>The Infierno Native Community and Ese'Eja Ecotourism Concession, Tambopata province and Tambopata district. Coordinates approx. center of plot according to Google Earth and PDD</t>
  </si>
  <si>
    <t>-069.249983</t>
  </si>
  <si>
    <t>-012.762983</t>
  </si>
  <si>
    <t>Province : Tambopata</t>
  </si>
  <si>
    <t>http://www.climate-standards.org/2014/01/16/evio-kuinaje-ese-eja-cuana-to-mitigate-climate-change-madre-de-dios-peru/</t>
  </si>
  <si>
    <t>https://registry.verra.org/app/projectDetail/VCS/1218</t>
  </si>
  <si>
    <t>http://www.climate-standards.org/2014/01/16/evio-kuinaje-ese-eja-cuana-to-mitigate-climate-change-madre-de-dios-peru/;
http://theredddesk.org/countries/initiatives/sustainable-forest-management-and-utilisation-ecosystem-services-forests;
http://www.climate-standards.org/2014/01/16/evio-kuinaje-ese-eja-cuana-to-mitigate-climate-change-madre-de-dios-peru/</t>
  </si>
  <si>
    <t>N/A</t>
  </si>
  <si>
    <t>Training of communities</t>
  </si>
  <si>
    <t>Promotion of alternative activities (ecotourism, sale of local handicraft)</t>
  </si>
  <si>
    <t>In the case of Infierno Community are 02 levels of land use rights the family level and community level.</t>
  </si>
  <si>
    <t>A communication strategy developed in a participatory way, about ecosystem services, conservation and management of forests in the native community</t>
  </si>
  <si>
    <t>no clear zoning identifies an implicit community zoning, which somehow make a way how the community access to natural resources</t>
  </si>
  <si>
    <t>reforestation will be held in areas the plots of each Infierno family.</t>
  </si>
  <si>
    <t>REDD in the Conservation Concession Alto Huayabamba</t>
  </si>
  <si>
    <t>CCAH REDD Project</t>
  </si>
  <si>
    <t>2047</t>
  </si>
  <si>
    <t>The project hopes to reduce the rate of deforestation caused by traditional farming practices, extensive grazing and new roads projects near the concession area through strategic activities in the affected areas. 
The project aims to protect the different ecological systems found in the area and habitats of priority species for conservation, to help maintain the water balance in the basin high in the rio Mendoza which is the main tributary of the Huallaga River and provides environmental services to the population in the region San Martín. The project further promotes and strengthens mechanisms for participation to conservation and community development.</t>
  </si>
  <si>
    <t>San Martin department, Mariscal Cáceres province. Coordinates rough center of plot according to PDD</t>
  </si>
  <si>
    <t>-077.171749</t>
  </si>
  <si>
    <t>-007.255525</t>
  </si>
  <si>
    <t>Province : Mariscal Cáceres</t>
  </si>
  <si>
    <t>2012-2047</t>
  </si>
  <si>
    <t>http://www.climate-standards.org/2013/06/28/redd-de-la-concesion-para-conservacion-alto-huayabamba-ccah-project/</t>
  </si>
  <si>
    <t>https://registry.verra.org/app/projectDetail/VCS/1882</t>
  </si>
  <si>
    <t>http://www.climate-standards.org/2013/06/28/redd-de-la-concesion-para-conservacion-alto-huayabamba-ccah-project/
http://www.theredddesk.org/sites/default/files/propuesta_redd_ampa.pdf (authorization is needed to access the website as of September 2020); 
http://theredddesk.org/countries/initiatives/redd-conservation-concession-alto-huayabamba (authorization is needed to access the website as of September 2020);
http://www.katoombagroup.org/incubator/project.php?id=219 (not accessible as of September 2020);
FONAM http://www.fonamperu.org/general/documentos/Summarya.pdf (not accessible as of September 2020)
https://s3.amazonaws.com/CCBA/Projects/REDD%2B_de_la_Concesi%C3%B3n_para_Conservaci%C3%B3n_Alto_Huayabamba_(CCAH)_Project/Validation/PROYECTO_REDD%2B_CCAH+VERSION_4+0++with+Rules+CCB+(1).pdf</t>
  </si>
  <si>
    <t>Agreement to compensate for the area not deforested located somewhere with potential for agriculture</t>
  </si>
  <si>
    <t xml:space="preserve">Training to reduce fire | </t>
  </si>
  <si>
    <t>ecotourism | processing and commercialization</t>
  </si>
  <si>
    <t xml:space="preserve">Help farmers negotiate on the market to have better prices  | </t>
  </si>
  <si>
    <t>improve environmental education</t>
  </si>
  <si>
    <t>avoided deforestation</t>
  </si>
  <si>
    <t>Forest Management to Reduce Deforestation and Degradation in Shipibo Conibo and Cacataibo Indigenous Communities of Ucayali Region</t>
  </si>
  <si>
    <t>- Valuation of Environmental Services in the Managed Forests  of Seven Indigenous communities in Uyacali, Peru
- NI KANITI</t>
  </si>
  <si>
    <t>2030</t>
  </si>
  <si>
    <t>The aim of the project is to conserve the forests of these communities against threats such as deforestation and degradation, and to generate social, climate and biodiversity co-benefits. The strategy used to reduce deforestation includes: i) Appropriate use of the communal territory, ii) Development of capabilities for the administration of natural resources, iii) projects funding and their articulation in the market, and iv) Building of strategic partnerships.</t>
  </si>
  <si>
    <t>cattle grazing, illegal logging, local livelihoods, mining</t>
  </si>
  <si>
    <t>Peru, Ucayali and Huánuco region, Coronel Portillo, Padre Abad and Puerto Inca Province. Coordinates are rough estimate of center of largest plot as according to PDD</t>
  </si>
  <si>
    <t>-075.272140</t>
  </si>
  <si>
    <t>-009.003746</t>
  </si>
  <si>
    <t>Region : Ucayali and Huánuco</t>
  </si>
  <si>
    <t>Province : Coronel Portillo, Padre Abad and Puerto Inca</t>
  </si>
  <si>
    <t>https://registry.verra.org/mymodule/ProjectDoc/Project_ViewFile.asp?FileID=42361&amp;IDKEY=a98klasmf8jflkasf8098afnasfkj98f0a9sfsakjflsakjf8ds58415819</t>
  </si>
  <si>
    <t>https://registry.verra.org/mymodule/ProjectDoc/Project_ViewFile.asp?FileID=41772&amp;IDKEY=aq934lkmsad39asjdkfj90qlkalsdkngaf98ulkandDfdvDdfhk57603588</t>
  </si>
  <si>
    <t>https://info.fsc.org/details.php?id=a0240000005sSO8AAM&amp;type=certificate</t>
  </si>
  <si>
    <t>http://www.v-c-s.org/sites/v-c-s.org/files/Summary_PDD_CCB_Ucayali.pdf;
http://www.climate-standards.org/2014/08/15/forest-management-to-reduce-deforestation-and-degradation-in-shipibo-conibo-and-cacataibo-indigenous-communities-of-ucayali-region/;
VCS PDD: https://products.markit.com/br-reg/public/project.jsp?project_id=103000000007693;
Book "REDD+ on the ground" (Sills et al. 2014), chapter 9.</t>
  </si>
  <si>
    <t>Althelia (investment fund) will return to the communities a percentage of their carbon profits (50%).</t>
  </si>
  <si>
    <t xml:space="preserve">Timber processing plant and warehouse (AIDER) |  Bolaina timber plantations (AIDER financed by Movistar) |  Sustainable management of aguaje palm (AIDER with TNC funding)  | </t>
  </si>
  <si>
    <t>agriculture | agroforestry | fishing | plantation forestry | processing and commercialization | tree planting</t>
  </si>
  <si>
    <t>The project work on land use planning to avoid the potential risks of disasters[..]through agroforestry systems (pdd ccba p4) |  construction of sawmill and warehouse |  timber plantation |  sustainable fish farming |  reforestation with taoni trees (Sills p174)</t>
  </si>
  <si>
    <t xml:space="preserve">REDD+ Capacity building with Althelia  | </t>
  </si>
  <si>
    <t xml:space="preserve">MRV committees (AIDER and DGFFS)  | </t>
  </si>
  <si>
    <t xml:space="preserve">Improved Forest Management | </t>
  </si>
  <si>
    <t>The Jaguar Amazon REDD Project</t>
  </si>
  <si>
    <t>The project is based on the sustainable forest management of certified wood from the consolidated
“Inversiones Forestales Chullachaqui SAC” and “Forestal Otorongo SAC” in the Province of
Tahuamanu, department of Madre de Dios in southeast Peru.</t>
  </si>
  <si>
    <t>industrial wood exploitation</t>
  </si>
  <si>
    <t>Multiple protected areas</t>
  </si>
  <si>
    <t>Department of Madre de Dios, in the
province of Tahuamanu (districts of Iñapari, Iberia and Tahuamanu)</t>
  </si>
  <si>
    <t>-070.476654</t>
  </si>
  <si>
    <t>-011.209927</t>
  </si>
  <si>
    <t>Province:  Tahuamanu</t>
  </si>
  <si>
    <t>Department: Madre de Dios</t>
  </si>
  <si>
    <t>2018-2041</t>
  </si>
  <si>
    <t>https://registry.verra.org/mymodule/ProjectDoc/Project_ViewFile.asp?FileID=46498&amp;IDKEY=3q934lkmsad39asjdkfj90qlkalsdkngaf98ulkandDfdvDdfhD64120742</t>
  </si>
  <si>
    <t>https://registry.verra.org/app/projectDetail/VCS/2278
https://registry.verra.org/app/projectDetail/CCB/2278
https://registry.verra.org/mymodule/ProjectDoc/Project_ViewFile.asp?FileID=46498&amp;IDKEY=3q934lkmsad39asjdkfj90qlkalsdkngaf98ulkandDfdvDdfhD64120742</t>
  </si>
  <si>
    <t>The Jaguar Amazon REDD+ Project will have significant positive impacts on neighboring communities of the project. The expected impacts of the Project on communities are:• Increase of high quality employment (safer labour conditions than traditional logging)</t>
  </si>
  <si>
    <t>training and seed capital to start small enterprises as fish farming and wildlife husbandry.</t>
  </si>
  <si>
    <t>the prohibition of hunting within the concession |  Limited access to families that used to practice unsustainable use of natural resources (logging, hunting and, in general, overexploitation of forest and wildlife resources)</t>
  </si>
  <si>
    <t>increased water quality and/or improved access to drinking water</t>
  </si>
  <si>
    <t>FOREST MANAGEMENT TO MITIGATE CLIMATE CHANGE IN BÉLGICA NATIVE COMMUNITY, MADRE DE DIOS REGION – PERU</t>
  </si>
  <si>
    <t>The REDD+ project, with 53,308 hectares, is developed in the native community of Bélgica, which belongs to the Yine ethnic group, and has an extension of 53,394 hectares. The community is located in the district of Iñapari, province of Tahuamanu in the department of Madre de Dios</t>
  </si>
  <si>
    <t>Social development</t>
  </si>
  <si>
    <t>industrial wood exploitation | slash and burn agriculture | industrial agriculture and cattle ranching | illegal logging | infrastructure</t>
  </si>
  <si>
    <t>The project area is politically located in the district of Iñapari, province of Tahuamanu in the department of Madre de Dios.</t>
  </si>
  <si>
    <t>department: Madre de Dios</t>
  </si>
  <si>
    <t>province of Tahuamanu</t>
  </si>
  <si>
    <t>2017-2037</t>
  </si>
  <si>
    <t>https://registry.verra.org/app/projectDetail/VCS/1799</t>
  </si>
  <si>
    <t>https://registry.verra.org/mymodule/ProjectDoc/Project_ViewFile.asp?FileID=63956&amp;IDKEY=f097809fdslkjf09rndasfufd098asodfjlkduf09nm23mrn87k88195324</t>
  </si>
  <si>
    <t>All info based on PDD https://registry.verra.org/mymodule/ProjectDoc/Project_ViewFile.asp?FileID=63953&amp;IDKEY=f98klasmf8jflkasf8098afnasfkj98f0a9sfsakjflsakjf8df88191187</t>
  </si>
  <si>
    <t xml:space="preserve">All payment distribute to Communities and Project depend on carbon credit </t>
  </si>
  <si>
    <t>promotes the increase of the educational level of the members of the community through study  scholarships for young people in secondary and higher education, so that in the future they can execute project management roles.</t>
  </si>
  <si>
    <t>agroforestry | fishing | NTFP | other-silvopastoral | other- sustainable timber harvesting</t>
  </si>
  <si>
    <t>The project planned several alternative activities for communities such as: Sustainable productive activities (agroforestry, shiringa, fish farm, crafts), sustainable silvopastoral system and sustainable forest management</t>
  </si>
  <si>
    <t>Training for the strengthening of forest management, development of agroforestry system, the use of Shiringa, development of crafts</t>
  </si>
  <si>
    <t>The community has a team for control and surveillance, which carries out patrols in order to take care that strangers enter its territory and to ensure that the agreements for the use of forest resources are respected</t>
  </si>
  <si>
    <t>the project open more opportunity for the community to public services</t>
  </si>
  <si>
    <t>The Gola REDD project aims to conserve the forested areas of the Gola Rainforest National Park (GRNP). The GRNP and adjacent forests are Sierra Leone’s largest remaining area of Upper Guinea Tropical Forest. Conservation actions as a direct result of the Gola REDD project will protect these species, preserve 68,515 ha of tropical forest and provide livelihood support to the 114 impoverished communities that surround the GRNP.
The project will help communities to adopt more sustainable production techniques, and to develop ecotourism and other income-generating activities.</t>
  </si>
  <si>
    <t>illegal logging, industrial agriculture or cattle ranching, local livelihoods, mining</t>
  </si>
  <si>
    <t>Gola Rainforest National Park</t>
  </si>
  <si>
    <t>Three districts: Kailahun and Kenema in the Eastern Province and Pujehun in the Southern Province, south east of Sierra Leone. Coordinates set for approx. center of larger, north plot</t>
  </si>
  <si>
    <t>-010.981300</t>
  </si>
  <si>
    <t>0007.719627</t>
  </si>
  <si>
    <t>Provinces : Eastern and the Southern</t>
  </si>
  <si>
    <t>District : Kailahun, Kenema, and Pujehun</t>
  </si>
  <si>
    <t>Above ground biomass | Below ground biomass | Soil organic carbon</t>
  </si>
  <si>
    <t>https://registry.verra.org/mymodule/ProjectDoc/Project_ViewFile.asp?FileID=17458&amp;IDKEY=f903q4jsafkasjfu90amnmasdfkaidflnmdf9348r09dmfasdff24074582</t>
  </si>
  <si>
    <t>http://www.climate-standards.org/2014/01/06/gola-redd-http://www.vcsprojectdatabase.org/#/project_details/1201project/;
http://www.climate-standards.org/2014/01/06/gola-redd-project/</t>
  </si>
  <si>
    <t>Income from ecotourism activities: $1151 given to communities</t>
  </si>
  <si>
    <t>Provide training and inputs for the production/collection, post-harvest processing and marketing needs</t>
  </si>
  <si>
    <t>agriculture | agroforestry | ecotourism</t>
  </si>
  <si>
    <t>Farmers Field Schools and demonstration field, to help farmers develop a more sustainable production system. Loans and micro-credits.</t>
  </si>
  <si>
    <t>Tenure security in the form of use rights and access will be enhanced inside the park through the designation of community use zones and co-management agreements.</t>
  </si>
  <si>
    <t>enhance environmental awareness and promote community participation in the management of the GRNP by conducting annual awareness raising and educational roadshows and other events to reach remote forest edge communities, etc</t>
  </si>
  <si>
    <t>avoiding unplanned deforestation</t>
  </si>
  <si>
    <t>education scholarships</t>
  </si>
  <si>
    <t>Ntakata Mountains REDD</t>
  </si>
  <si>
    <t>Tanzania, United Republic of</t>
  </si>
  <si>
    <t>The important goal of the project is to work in partnership with local communities in order to have positive impacts on their livelihoods. Carbon Tanzania works with the Village Governments as the primary interface, thus utilizing existing governance structures.</t>
  </si>
  <si>
    <t>cattle grazing, infrastructure, local livelihoods, mining, slash and burn agriculture</t>
  </si>
  <si>
    <t>Bujombe, Kagunga,
Kapanga, Katuma, Lugonesi, Lwega, Mwese, and Mpembe village in Tanganyika District, in Western Tanzania</t>
  </si>
  <si>
    <t>0035.625665</t>
  </si>
  <si>
    <t>-009.118547</t>
  </si>
  <si>
    <t>Province: Tanganyika</t>
  </si>
  <si>
    <t>District: Tanganyika</t>
  </si>
  <si>
    <t>2017-2047</t>
  </si>
  <si>
    <t>https://registry.verra.org/mymodule/ProjectDoc/Project_ViewFile.asp?FileID=47521&amp;IDKEY=s097809fdslkjf09rndasfufd098asodfjlkduf09nm23mrn87965531459</t>
  </si>
  <si>
    <t>https://registry.verra.org/app/projectDetail/VCS/1897
https://registry.verra.org/app/projectDetail/CCB/1897
https://registry.verra.org/mymodule/ProjectDoc/Project_ViewFile.asp?FileID=45936&amp;IDKEY=lkjalskjf098234kj28098sfkjlf098098kl32lasjdflkj909f63345744</t>
  </si>
  <si>
    <t>Provide technical support for tree plantations |  Provide training and matching grants to Community Conservation Banks (Cocoba) in each village to enable micro-finance for enterprise development |  Provide training on entrepreneurship to women's groups and young mothers</t>
  </si>
  <si>
    <t>agriculture</t>
  </si>
  <si>
    <t>Land use planning to reduce conflict over land and resources</t>
  </si>
  <si>
    <t>project provides capacity development training and education on REDD+, project governance, forest management, forest law enforcement.</t>
  </si>
  <si>
    <t>Land use planning identifies areas for legal farming and for grazing |  provide compensation to Village Game Scouts (VGS) to conduct regular patrols of the forest.</t>
  </si>
  <si>
    <t>Improve School facilities</t>
  </si>
  <si>
    <t>Conduct counselling on reproductive health |  support village development (e.g. health, education)</t>
  </si>
  <si>
    <t>Lower Zambezi REDD+ project</t>
  </si>
  <si>
    <t>The Lower Zambezi REDD+ Project takes place on 38,781 hectares (ha) of privately-owned land in Rufunsa District, Zambia. The Project Area is known as ‘Rufunsa Conservancy’ (Conservancy), and is owned by a Zambian company named Sable Transport Limited. The Conservancy is one of the last intact areas of forest within Lusaka Province (named after the nearby capital city), and provides a 60-kilometer buffer to Lower Zambezi National Park (NP) , a strategic protected area in Zambia in a globally significant trans-frontier conservation area. Lower
Zambezi NP is adjacent to Mana Pools National Park in Zimbabwe which is a UNESCO designated World Heritage Site.
The core project climate activities undertaken include forest carbon inventorying, modeling cumulative deforestation patterns, and soil carbon assessments. Core community project activities include up to eighteen different types of community-based deforestation mitigation initiatives designed to create sustainable, scalable alternatives to deforestation, and strategic, meaningful incentives that comprise part of pay for performance programs that support forest conservation. Core biodiversity project activities include forest conservation systems, biodiversity monitoring and management, and fire management.</t>
  </si>
  <si>
    <t>charcoal production, local livelihoods, slash and burn agriculture</t>
  </si>
  <si>
    <t>Rufunsa Conservancy (private)</t>
  </si>
  <si>
    <t>96.6%</t>
  </si>
  <si>
    <t>Rufunsa Conservancy, Rufunsa District, Lusaka Province, Zambia (120 km southeast of Lusaka)</t>
  </si>
  <si>
    <t>0028.963333</t>
  </si>
  <si>
    <t>Province : Lusaka</t>
  </si>
  <si>
    <t>District : Rufunsa</t>
  </si>
  <si>
    <t>Soil organic carbon</t>
  </si>
  <si>
    <t>https://registry.verra.org/mymodule/ProjectDoc/Project_ViewFile.asp?FileID=69817&amp;IDKEY=sq934lkmsad39asjdkfj90qlkalsdkngaf98ulkandDfdvDdfhd96277643</t>
  </si>
  <si>
    <t>https://registry.verra.org/mymodule/ProjectDoc/Project_ViewFile.asp?FileID=16454&amp;IDKEY=s0e98hfalksuf098fnsdalfkjfoijmn4309JLKJFjlaksjfla9F22690066</t>
  </si>
  <si>
    <t>https://vcsprojectdatabase2.apx.com/myModule/Interactive.asp?Tab=Projects&amp;a=2&amp;i=1202&amp;lat=-15.4056805479607&amp;lon=29.3855227650799&amp;bp=1;
http://theredddesk.org/countries/initiatives/lower-zambezi-redd-project ;
http://www.forestcarbonportal.com/project/Lower-Zambezi-REDD-Project ;
http://www.climate-standards.org/2013/03/13/lower-zambezi-redd-project/ ;
http://www.climate-standards.org/2013/03/13/lower-zambezi-redd-project/</t>
  </si>
  <si>
    <t>10% of ecotourism revenues will be awarded to community trust fund on condition of expanded wildlife populations in HCV project areas |  'Community Covenants' structure project activities to be dependant on reduced deforestation and biodiversity enhancement</t>
  </si>
  <si>
    <t>Training rural farmers in conservation farming techniques that allow them to be more efficient on small areas of land, reducing their need to clear new areas of forest to expand fields or engage in charcoal production for additional income |  Assisting rural farmers in the project zone to gain access to markets and improved agricultural value chains |  Assisting rural farmers with their expansion of produce including non-timber forest products such as honey production.</t>
  </si>
  <si>
    <t>agriculture | agroforestry | economic interest groups | ecotourism | microenterprise | tree planting</t>
  </si>
  <si>
    <t xml:space="preserve">Community-based sustainable eco-charcoal production (pilot completed) |  Conservation farming training program (pilot completed) |  Ecotourism planned |  Chicken keeping, fruit orchards, vegetable gardens |  possible honey and mushroom production |  brick making | </t>
  </si>
  <si>
    <t>BCP aims to reach out to youths to raise awareness about forests and the environment. By teaching youths about the dangers of deforestation, and raising awareness about alternative activities,</t>
  </si>
  <si>
    <t>Avoid and reduce deforestation</t>
  </si>
  <si>
    <t>tree-planting and reforestation activities</t>
  </si>
  <si>
    <t xml:space="preserve">Support for school building upgrades and provision of school supplies |  borehole and health clinic refurbishment | </t>
  </si>
  <si>
    <t xml:space="preserve">Project will provide support towards the delivery of critical social services, particularly education, health, sanitation and access to water | </t>
  </si>
  <si>
    <t>Comaco Landscape Management Project</t>
  </si>
  <si>
    <t>CLMP</t>
  </si>
  <si>
    <t>2032</t>
  </si>
  <si>
    <t>The COMACO Landscape Management Project (CLMP) promotes sustainable agriculture and forest conservation. The main objectives of the project are twofold: 1) to sustainably increase smallholder farmer agricultural productivity, income and welfare; and 2) to reduce uncontrolled forest loss and degradation, and increase net forest cover. Hence, the project comprises two components:
1. Sustainable Agricultural Land Management (SALM) component – which aims to promote widespread adoption of agricultural practices including conservation agriculture that increase food production per unit area and farmers’ income. The project promotes the adoption by farmers of legume-based alley cropping, residues management (e.g. mulching; cessation of residue burning), and reduced tillage among other SALM practices.
2. REDD+ (Avoided Unplanned Deforestation) component – which aims to reduce forest loss, and protect and expand areas under natural forest, and conserve biodiversity. This is achieved primarily through land use planning and creation of Community Conservation Areas (CCA), coupled with sustainable non-extractive forest use, e.g. honey and mushrooms.
The project stretches across nine chiefdoms in five districts in the Eastern Province of Zambia, namely: Chikomeni, Chikuwe, Jumbe, Luembe, Magodi, Mwasemphangwe, Mwape, Nyamphande, and Zumwanda.</t>
  </si>
  <si>
    <t>charcoal production, energy wood, local livelihoods, slash and burn agriculture</t>
  </si>
  <si>
    <t>REDD|other</t>
  </si>
  <si>
    <t>The project stretches across nine chiefdoms in five districts in the Eastern Province of Zambia, namely: Chikomeni, Chikuwe, Jumbe, Luembe, Magodi, Mwasemphangwe, Mwape, Nyamphande, and Zumwanda.</t>
  </si>
  <si>
    <t>0032.864680</t>
  </si>
  <si>
    <t>-012.820198</t>
  </si>
  <si>
    <t>Province : Eastern Cape</t>
  </si>
  <si>
    <t>Districs: Lundazi, Mambwe, Chipata, Petauke, Chama, Nyimba</t>
  </si>
  <si>
    <t>2012-2032</t>
  </si>
  <si>
    <t>https://registry.verra.org/mymodule/ProjectDoc/Project_ViewFile.asp?FileID=42974&amp;IDKEY=898klasmf8jflkasf8098afnasfkj98f0a9sfsakjflsakjf8d959261146</t>
  </si>
  <si>
    <t>Project PDD . Available at: https://registry.verra.org/app/projectDetail/VCS/1532</t>
  </si>
  <si>
    <t>The adoption of sustainable agriculture practices will increase small-holder farmer crop yield, farmer income and welfare, reduce uncontrolled forest loss and degradation, which would be supported in the short term by carbon revenues received from a significant increase in bio-carbon sequestration in agricultural areas and avoided emissions in forested areas.</t>
  </si>
  <si>
    <t>Training of farmers in improved agricultural land management practices to improve crop yields on existing farmlands in order to reduce the need for agricultural expansion in forest areas, hence, reducing deforestation. The adoption of good farming practices include:minimum tillage, rotation with legume, legume cover crop, non-burning of crop residue, use of mulch, crop diversification, composting, firebreaks. Creation of cooperatives.Guidance and technical support for bulk crop processing, marketing and input purchase to strengthen the membership and add value to the produce â€“ through existing farmer co-operatives or new ones formed by the farmer groups.</t>
  </si>
  <si>
    <t>agriculture | agroforestry | microenterprise | other</t>
  </si>
  <si>
    <t>The project works promoting the adoption of sustainable agriculture and agroforestry techniques and also creating cooperatives to organize de production (processing and trade). Support for the elaboration of plans for the sustainable use of honey.</t>
  </si>
  <si>
    <t>Participatory demarcation of Community Conservation Areas as a form of land use zoning to protect the forest from deforestation/degradation. Fourteen CCAs have so far been demarcated to constitute the first project activity instances, namely: Nyamphande, Mwape, Jumbe, Mphomwa, Mbenjele, Chamukoma, Kabinga, Magodi, Zumwanda, Lwasila, Kalungambeba, Kalindi, Mwase, and Luembe.</t>
  </si>
  <si>
    <t>Stakeholders' awareness meeting as an entry point to raise awareness and contact potential project-participating farmers and collaborators/partners e.g. government agencies and NGOs. The project's goals/objectives, expected benefits, obligations for participating farmers, etc. are thoroughly described and discussed. Radio program that talks abou the challenges of climate change and how the project help small-scale farmers adapt to them.</t>
  </si>
  <si>
    <t>Creation of Community Conservation Plans (CCPs) and attendant rules governing permitted activities and sanctions. This is the main means through which forest protection and management is to be achieved.Protection of the forest through monitoring of the activities known to drive deforestation/forest degradation to check if set rules are being followed/broken and imposing agreed sanctions in case of unpermitted activities.</t>
  </si>
  <si>
    <t>Observed Post-REDD+ annual average forest area loss</t>
  </si>
  <si>
    <t>SC Post-REDD+ annual average forest area loss</t>
  </si>
  <si>
    <t>Observed Post-REDD+ cumulative forest loss area</t>
  </si>
  <si>
    <t>SC Post-REDD+ cumulative forest loss area</t>
  </si>
  <si>
    <t>-</t>
  </si>
  <si>
    <t>Difference (ha)</t>
  </si>
  <si>
    <t xml:space="preserve">Significance </t>
  </si>
  <si>
    <t>good --&gt; it's the 21/66 that Tang et al refers to as leading to significant less deforestation than according to SC baseline</t>
  </si>
  <si>
    <t>Missing from ID-RECCO</t>
  </si>
  <si>
    <t>Private for profit</t>
  </si>
  <si>
    <t>Florestal Santa Maria S/A</t>
  </si>
  <si>
    <t>www.florestalsantamaria.com.br#http://www.florestalsantamaria.com.br#</t>
  </si>
  <si>
    <t>Neighboring State Park</t>
  </si>
  <si>
    <t>Public</t>
  </si>
  <si>
    <t>VO2 Desenvolvimento Empresarial</t>
  </si>
  <si>
    <t>ALLCOT AG</t>
  </si>
  <si>
    <t>www.allcot.com#http://www.allcot.com#</t>
  </si>
  <si>
    <t>Switzerland</t>
  </si>
  <si>
    <t>Ecosystem Services LLC</t>
  </si>
  <si>
    <t>#http://www.ecosystemservicesllc.com#</t>
  </si>
  <si>
    <t>United States</t>
  </si>
  <si>
    <t>RMDLT Property Group Ltd</t>
  </si>
  <si>
    <t>Belize</t>
  </si>
  <si>
    <t>Antonio Willian Flores de Melo - Universidade Federal do Acre Centro de Ciências Biológicas e da Natureza</t>
  </si>
  <si>
    <t>CarbonCo, LLC</t>
  </si>
  <si>
    <t>#http://carboncollc.com/#</t>
  </si>
  <si>
    <t>EMBRAPA (Dr. Judson Valentin)</t>
  </si>
  <si>
    <t>Freitas International Group, LLC</t>
  </si>
  <si>
    <t>Instituto Chico Mendes</t>
  </si>
  <si>
    <t>Moura e Rosa Empreendimentos Imobiliários LTDA(Moura &amp; Rosa)</t>
  </si>
  <si>
    <t>SERVICO NACIONAL DE APRENDIZAGEM RURAL</t>
  </si>
  <si>
    <t>TECMAN</t>
  </si>
  <si>
    <t>TerraCarbon LLC</t>
  </si>
  <si>
    <t>id_partner</t>
  </si>
  <si>
    <t>name_partner_full</t>
  </si>
  <si>
    <t>role_proponent-developer</t>
  </si>
  <si>
    <t>website/link</t>
  </si>
  <si>
    <t>type_partner</t>
  </si>
  <si>
    <t>Anthrotect, LLC</t>
  </si>
  <si>
    <t>#http://www.anthrotect.com/#</t>
  </si>
  <si>
    <t>private for-profit</t>
  </si>
  <si>
    <t>Carnegie Institution for Science</t>
  </si>
  <si>
    <t>Research/academic institute</t>
  </si>
  <si>
    <t>Consejo comunitario de comunidades negras de la cuenca del rio tolo y zona costera Sur</t>
  </si>
  <si>
    <t>#http://www.cocomasur.org/#</t>
  </si>
  <si>
    <t>NGO/private non for profit</t>
  </si>
  <si>
    <t>ecoPartners (Ecological Carbon Offset Partners, LLC)</t>
  </si>
  <si>
    <t>Fund for Environmental Action</t>
  </si>
  <si>
    <t>Medellin Botanical Garden</t>
  </si>
  <si>
    <t>Strategic Environmental Management</t>
  </si>
  <si>
    <t>Asociacion para la Investigacion y Desarrollo Integral(AIDER)</t>
  </si>
  <si>
    <t>#http://www.aider.com.pe/#</t>
  </si>
  <si>
    <t>Servicio Nacional de Ãreas Naturales Protegidas por el Estado â€ SERNANP</t>
  </si>
  <si>
    <t>Cooperativa Agraria Cacaotera(ACOPAGRO)</t>
  </si>
  <si>
    <t>Fundacion AMAZONIA VIVA</t>
  </si>
  <si>
    <t>ONF International</t>
  </si>
  <si>
    <t>Pur Projet</t>
  </si>
  <si>
    <t>#http://www.purprojet.com/fr/#</t>
  </si>
  <si>
    <t>France</t>
  </si>
  <si>
    <t>Asociación de la Virgen de la Medalla Milagrosa</t>
  </si>
  <si>
    <t>Association of Andeane Ecosystem(ECOAN)</t>
  </si>
  <si>
    <t>Conservation International Peru(CI Peru)</t>
  </si>
  <si>
    <t>#http://www.conservation.org/global/peru/Pages/partnerlanding.aspx#</t>
  </si>
  <si>
    <t>National Service for Protected Natural Areas (SERNANP)</t>
  </si>
  <si>
    <t>Secretary of Environment (MINAM)</t>
  </si>
  <si>
    <t>CESVI</t>
  </si>
  <si>
    <t>Greenoxx Sociedad Civil</t>
  </si>
  <si>
    <t>#https://greenoxx.com/#</t>
  </si>
  <si>
    <t>Uruguay</t>
  </si>
  <si>
    <t>Madreacre and Maderyja</t>
  </si>
  <si>
    <t>ProNaturaleza</t>
  </si>
  <si>
    <t>World Wide Fund For Nature (WWF)</t>
  </si>
  <si>
    <t>#http://wwf.panda.org/#</t>
  </si>
  <si>
    <t>Center for Conservation, Research and Management of Natural Areas</t>
  </si>
  <si>
    <t>#http://www.cima.org.pe/eng/inst_history.htm#</t>
  </si>
  <si>
    <t>Field Museum</t>
  </si>
  <si>
    <t>Peruvian park authority (SERNANP)</t>
  </si>
  <si>
    <t>Ese Eja Infierno Native Community</t>
  </si>
  <si>
    <t>Local communities/landowners/cooperatives</t>
  </si>
  <si>
    <t>Alto Huayabamba Concession Conservation(CCAH)</t>
  </si>
  <si>
    <t>Asociación Amazónicos por la Amazonía</t>
  </si>
  <si>
    <t>#http://www.ampaperu.info/#</t>
  </si>
  <si>
    <t>Amazon Conservation Team -  Brazil(ACT)</t>
  </si>
  <si>
    <t>Associação Metareilá do Povo Indígena Suruí</t>
  </si>
  <si>
    <t>#http://www.paiter.org/#</t>
  </si>
  <si>
    <t>Brazilian Biodiversity Fund</t>
  </si>
  <si>
    <t>#http://www.funbio.org.br/#</t>
  </si>
  <si>
    <t>Institute for Conservation and Sustainable Development of Amazonas - IDESAM</t>
  </si>
  <si>
    <t>Kanindé Ethno-environmental Defense Association</t>
  </si>
  <si>
    <t>National Indian Foundation - FUNAI</t>
  </si>
  <si>
    <t>The Katoomba Group</t>
  </si>
  <si>
    <t>#http://www.katoombagroup.org/index.php#</t>
  </si>
  <si>
    <t>Biofilica Investimentos Ambientais S.A.</t>
  </si>
  <si>
    <t>#http://www.biofilica.com.br/web/index.php#</t>
  </si>
  <si>
    <t>Center for International Forestry Research(CIFOR)</t>
  </si>
  <si>
    <t>www.cifor-icraf.org/</t>
  </si>
  <si>
    <t>Indonesia</t>
  </si>
  <si>
    <t>Fundação Jari</t>
  </si>
  <si>
    <t>#http://www.fundacaojari.org.br/pt#</t>
  </si>
  <si>
    <t>Imazon</t>
  </si>
  <si>
    <t>imazon.org.br</t>
  </si>
  <si>
    <t>Instituto de Pesquisas Ecologicas - IPE e Arvorar</t>
  </si>
  <si>
    <t>www.arvorar.com</t>
  </si>
  <si>
    <t>Jari Celulose S.A.</t>
  </si>
  <si>
    <t>#http://www.grupojari.com.br/#</t>
  </si>
  <si>
    <t>Jari Florestal</t>
  </si>
  <si>
    <t>Amazonia Gestao Ambiental</t>
  </si>
  <si>
    <t>http://www.amazoniagestaoambiental.com.br/</t>
  </si>
  <si>
    <t>Eco-logica Consultoria Ambiental</t>
  </si>
  <si>
    <t>www.ecologicacsa.com.br</t>
  </si>
  <si>
    <t>Instituto Peabiru</t>
  </si>
  <si>
    <t>peabiru.org.br</t>
  </si>
  <si>
    <t>Maísa-Mojú Agroindustrial Ltda</t>
  </si>
  <si>
    <t>PDS Consultoria Socioambiental</t>
  </si>
  <si>
    <t>Sipasa-Seringa Industrial do Pará</t>
  </si>
  <si>
    <t>Associação dos moradores da reserva extrativista Rio Preto Jacundá e riberinhos do Rio Machado</t>
  </si>
  <si>
    <t>Center of Studies Rioterra (CES Rioterra)</t>
  </si>
  <si>
    <t>Executive Board of the Extractive Reserves of Anari Valley (CDREX)</t>
  </si>
  <si>
    <t>Hdom Consultoria Ambiental</t>
  </si>
  <si>
    <t>IPE - The Institute of Ecological Research</t>
  </si>
  <si>
    <t>Jacunda Center of Studies of Culture and the Environment of the Amazon - CES Rioterra</t>
  </si>
  <si>
    <t>Calleria Native Community</t>
  </si>
  <si>
    <t>local communities/landowners/cooperatives</t>
  </si>
  <si>
    <t>Curiaca Native Community</t>
  </si>
  <si>
    <t>Flor de Ucayali Native Community</t>
  </si>
  <si>
    <t>Pueblo Nuevo Native Community</t>
  </si>
  <si>
    <t>Puerto Nuevo Native Community</t>
  </si>
  <si>
    <t>Roya Native Community</t>
  </si>
  <si>
    <t>Sinchi Roca Native Community</t>
  </si>
  <si>
    <t>CEFLORA (Centro de Formação e Tecnologia da Floresta)</t>
  </si>
  <si>
    <t>Ilderlei Souza Rodrigues Cordeiro</t>
  </si>
  <si>
    <t>Manoel Batista Lopes, ME.</t>
  </si>
  <si>
    <t>S.O.S. Amazônia</t>
  </si>
  <si>
    <t>Secretaries of Small Business and Environmental Affairs</t>
  </si>
  <si>
    <t>Universidade Federal do Acre Centro de Ciências Biológicas e da Natureza</t>
  </si>
  <si>
    <t>I.S.R.C. Investimentos e Acessória LTDA</t>
  </si>
  <si>
    <t>Ecosystem Restoration Associates Inc.</t>
  </si>
  <si>
    <t>#http://eraecosystems.com/#</t>
  </si>
  <si>
    <t>Canada</t>
  </si>
  <si>
    <t>ERA Congo SPRL</t>
  </si>
  <si>
    <t>Wildlife Works Carbon LLC</t>
  </si>
  <si>
    <t>#http://www.wildlifeworks.com/redd/#</t>
  </si>
  <si>
    <t xml:space="preserve"> BioCarbon Partners Ltd.</t>
  </si>
  <si>
    <t>BioCarbon Partners</t>
  </si>
  <si>
    <t>#http://biocarbonpartners.com/#</t>
  </si>
  <si>
    <t>Mauritius</t>
  </si>
  <si>
    <t>Conservation Farming Unit</t>
  </si>
  <si>
    <t>Engineers Without Borders Canada</t>
  </si>
  <si>
    <t>Musika Development Initiatives Ltd</t>
  </si>
  <si>
    <t>Zambian Forestry Department</t>
  </si>
  <si>
    <t>Cambridge-Waganingen Research Group</t>
  </si>
  <si>
    <t>Conservation Society of Sierra Leone (CSSL)</t>
  </si>
  <si>
    <t>Forests and Food Security (MAFFS)</t>
  </si>
  <si>
    <t>Gola Rainforest Conservation LG</t>
  </si>
  <si>
    <t>Government of Sierra Leone represented by the Ministry of Agriculture</t>
  </si>
  <si>
    <t>Green Africa</t>
  </si>
  <si>
    <t>Royal Society for the Protection of Birds (RSPB)</t>
  </si>
  <si>
    <t>Welthungerhilfe (WHH)</t>
  </si>
  <si>
    <t>Community associations</t>
  </si>
  <si>
    <t>Conservation International(CI)</t>
  </si>
  <si>
    <t>#http://www.conservation.org/#</t>
  </si>
  <si>
    <t>Local NGOs</t>
  </si>
  <si>
    <t>Ministry of Environment and Forests of Madagascar</t>
  </si>
  <si>
    <t>Regional government authorities</t>
  </si>
  <si>
    <t>Community Markets for Conservation (COMACO)</t>
  </si>
  <si>
    <t>#https://www.itswild.org/#</t>
  </si>
  <si>
    <t>The World Bank</t>
  </si>
  <si>
    <t>International organization</t>
  </si>
  <si>
    <t>UNIQUE Forestry and Land Use GmbH</t>
  </si>
  <si>
    <t>https://www.unique-landuse.de/en/?noredirect=en_US</t>
  </si>
  <si>
    <t>Germany</t>
  </si>
  <si>
    <t>Administracao Nacional de Areas de Conservacao Mozambican public agency for conservation areas</t>
  </si>
  <si>
    <t>#http://www.anac.gov.mz/#</t>
  </si>
  <si>
    <t>Agrisud International</t>
  </si>
  <si>
    <t>Etc Terra</t>
  </si>
  <si>
    <t>International foundation for fauna management</t>
  </si>
  <si>
    <t>Provincial REDD+ Unit</t>
  </si>
  <si>
    <t>Carbon Tanzania</t>
  </si>
  <si>
    <t>#http://www.carbontanzania.com/#</t>
  </si>
  <si>
    <t>Mpanda District Government</t>
  </si>
  <si>
    <t>Tanganyika District Government</t>
  </si>
  <si>
    <t>The Greater Mahale Ecosystem Research and Conservation</t>
  </si>
  <si>
    <t>The Nature Conservancy</t>
  </si>
  <si>
    <t>Children's Development Association</t>
  </si>
  <si>
    <t>Community Forestry Federation of Oddar Meanchey Province</t>
  </si>
  <si>
    <t>Community Forestry International Inc.</t>
  </si>
  <si>
    <t>#http://communityforestryinternational.org/#</t>
  </si>
  <si>
    <t>Forestry Administration of Cambodia</t>
  </si>
  <si>
    <t>#http://www.forestry.gov.kh/#</t>
  </si>
  <si>
    <t>Monk's Community Forestry Association</t>
  </si>
  <si>
    <t>National Council of Ministers</t>
  </si>
  <si>
    <t>PACT</t>
  </si>
  <si>
    <t>#http://www.pactworld.org#</t>
  </si>
  <si>
    <t>SNR Denton</t>
  </si>
  <si>
    <t>Technical Working Group on Forestry and the Environment (TWG F&amp;E)</t>
  </si>
  <si>
    <t>Terra Global Capital LLC</t>
  </si>
  <si>
    <t>www.terraglobalcapital.com#http://www.terraglobalcapital.com#</t>
  </si>
  <si>
    <t>William J. Clinton Foundation - Clinton Climate Initiative</t>
  </si>
  <si>
    <t>Austrian Federal Forests</t>
  </si>
  <si>
    <t>Austrian Life Ministry</t>
  </si>
  <si>
    <t>DoF Government of Laos</t>
  </si>
  <si>
    <t>Obf Consulting</t>
  </si>
  <si>
    <t>#http://www.oebfconsulting.at/#</t>
  </si>
  <si>
    <t>Austria</t>
  </si>
  <si>
    <t>World Wide Fund For Nature (WWF) Austria</t>
  </si>
  <si>
    <t>World Wildlife Fund - Laos</t>
  </si>
  <si>
    <t>#http://wwf.panda.org/who_we_are/wwf_offices/laos/?referer=wwftr#</t>
  </si>
  <si>
    <t>World Wildlife Fund Greater Mekong Programme</t>
  </si>
  <si>
    <t>#http://wwf.panda.org/what_we_do/where_we_work/greatermekong/our_solutions/redd/#</t>
  </si>
  <si>
    <t>Zotter Chocolate Manufacturing Company</t>
  </si>
  <si>
    <t>Cambodia Rural Development Team (CRDT)</t>
  </si>
  <si>
    <t>Community Legal Education Centre (CLEC)</t>
  </si>
  <si>
    <t>local NGOs</t>
  </si>
  <si>
    <t>Sam Veasna Centre</t>
  </si>
  <si>
    <t>Wildlife Conservation Society</t>
  </si>
  <si>
    <t>#http://www.wcs.org/#</t>
  </si>
  <si>
    <t>World Education Inc.</t>
  </si>
  <si>
    <t>Consejo Comunitario deACABA</t>
  </si>
  <si>
    <t>Consejo Comuntario de Río Pepé</t>
  </si>
  <si>
    <t>Fondo Acción (Fondo para la Acción Ambiental)</t>
  </si>
  <si>
    <t>Rainforest Alliance</t>
  </si>
  <si>
    <t>ClearSky Climate Solutions</t>
  </si>
  <si>
    <t>Concosta Community Council</t>
  </si>
  <si>
    <t>HCV Resource Network guidance</t>
  </si>
  <si>
    <t>Cabildo Mayor Indígena de Mutatá</t>
  </si>
  <si>
    <t>Consejo Comunitario del Río Cajambre</t>
  </si>
  <si>
    <t>Consejo Comunitario Apartadó-Buenavista</t>
  </si>
  <si>
    <t>Consejo Comunitario Chicao</t>
  </si>
  <si>
    <t>Consejo Comunitario de Domingodó</t>
  </si>
  <si>
    <t>Consejo Comunitario de Vigía de Curvaradó y Santa Rosa de Limón</t>
  </si>
  <si>
    <t>Consejo Comunitario La Madre</t>
  </si>
  <si>
    <t>Consejo Comunitario Río Montaño</t>
  </si>
  <si>
    <t>Araújo Ibarra</t>
  </si>
  <si>
    <t>Centro de Investigación Carbono y Bosques (C&amp;B)</t>
  </si>
  <si>
    <t>CONIF (Corporación Nacional de Investigación y Fomento Forestal)</t>
  </si>
  <si>
    <t>Consejo Comunitario de Pilizá</t>
  </si>
  <si>
    <t>Consejo Comunitario de Pizarro</t>
  </si>
  <si>
    <t>Consejo Comunitario de San Andrés de Usaragá Angel Mosquera</t>
  </si>
  <si>
    <t>Consejo Comunitario de Sivirú</t>
  </si>
  <si>
    <t>Dinamo</t>
  </si>
  <si>
    <t>EcoGeoMap</t>
  </si>
  <si>
    <t>Fundación Laurel</t>
  </si>
  <si>
    <t>Humboldt Institute on Biodiversity</t>
  </si>
  <si>
    <t>Nancy Vallejo</t>
  </si>
  <si>
    <t>Q&amp;A</t>
  </si>
  <si>
    <t>Universidad Nacional de Medellín</t>
  </si>
  <si>
    <t>Consejo Comunitario de Bajo Calima</t>
  </si>
  <si>
    <t>Consejo Comunitario de La Plata-Bahía Málaga</t>
  </si>
  <si>
    <t>Consejo Comunitarios de ACAPA</t>
  </si>
  <si>
    <t>Consejo Comuntario de Bajo Mira y Frontera</t>
  </si>
  <si>
    <t>Campus Lábrea</t>
  </si>
  <si>
    <t>Carbonext Consultoria Ltda.</t>
  </si>
  <si>
    <t>https://carbonext.com.br/en-US</t>
  </si>
  <si>
    <t>Fazenda Nossa Senhora das Cachoeiras do Ituxi</t>
  </si>
  <si>
    <t>Geowiki Engenharia Ltda</t>
  </si>
  <si>
    <t>Imaflora/Rainforest Alliance</t>
  </si>
  <si>
    <t>Instituto Federal de Ciência e Tecnologia</t>
  </si>
  <si>
    <t>Asociación De Cabildos Y Autoridades Tradicionales Indígenas de La Selva de Mataven</t>
  </si>
  <si>
    <t>ND#http://ND#</t>
  </si>
  <si>
    <t>MEDIAMOS F &amp; M S.A.S.</t>
  </si>
  <si>
    <t>#http://www.mediamosfym.com/#</t>
  </si>
  <si>
    <t>Casa da Floresta Assessoria Ambiental</t>
  </si>
  <si>
    <t>Ecoporé-Ação Ecológica Guaporé</t>
  </si>
  <si>
    <t>Florestal - Planejamento, Paisagismo e Consultoria Ltda</t>
  </si>
  <si>
    <t>Triângulo Pisos e Paineis Ltda.</t>
  </si>
  <si>
    <t>www.triangulo.com.br#http://www.triangulo.com.br#</t>
  </si>
  <si>
    <t>Agrocortex Madeiras do Acre Agroflorestal Ltda.</t>
  </si>
  <si>
    <t>#http://www.agrocortex.com/#</t>
  </si>
  <si>
    <t>Ecológica Assessoria Ltda</t>
  </si>
  <si>
    <t>T.A.O Consultoria Ambiental Ltda. - EPP</t>
  </si>
  <si>
    <t>Tamoios Tecnologia e Consultoria Ltda. - ME</t>
  </si>
  <si>
    <t>Brazil Agfor LLC</t>
  </si>
  <si>
    <t>#http://brazilagfor.com/#</t>
  </si>
  <si>
    <t>Consolidado Forestal Otorongo SAC</t>
  </si>
  <si>
    <t>Consolidado Inversiones Forestales Chullachaqui SAC</t>
  </si>
  <si>
    <t>Avix Engenharia eEstudos Técnicos</t>
  </si>
  <si>
    <t>Ituxi Administração e Participação Ltda</t>
  </si>
  <si>
    <t>Milenio Empreendimentos</t>
  </si>
  <si>
    <t>Green Forest Carbon Consultoria Empresarial Ltda</t>
  </si>
  <si>
    <t>Avoided Deforestation Project (Manaus) Limited(ADPML)</t>
  </si>
  <si>
    <t>Guernsey</t>
  </si>
  <si>
    <t>Kanaka Management Services Private Limited</t>
  </si>
  <si>
    <t>Bélgica Native Community</t>
  </si>
  <si>
    <t>DRC</t>
  </si>
  <si>
    <t xml:space="preserve">nationality </t>
  </si>
  <si>
    <t>The primary objective of the ABC Norte REDD Project is to avoid the unplanned deforestation (AUD) of the 140,432.27 ha project area, consisting of 100% Amazon rainforest. The project area is located within a private property named “Fazenda Pacajá”, which is located between the municipalities of Portel and Bagre, in the State of Pará, Northeast Amazon. Environmental education and other social activities that benefit the local community will be supported, as well as improving the control of deforestation. The SOCIALCARBON® Standard is being applied to assess and monitor the project's contribution to sustainability using six key indicators: Biodiversity; Nature; Financial; Human; Social and Carbon Resources, thus improving the social and environmental conditions in the project region. In addition to contributing to the long-term conservation of the region, the ABC Norte REDD Project also establishes a barrier against the advancement of deforestation, making it an important contribution to the conservation of Northeast Amazon biodiversity and also to climate regulation in Brazil and South America. The present REDD project is estimated to avoid a predicted 82,994.27 ha of deforestation, equating to 30,138,794 tCO2e in emissions reductions over the 30 year project lifetime (13-September-2017 to 12-September-2047) with an annual average of 1,004,626 tCO2e</t>
  </si>
  <si>
    <t>Not in ID-RECCO</t>
  </si>
  <si>
    <t xml:space="preserve">Brazil </t>
  </si>
  <si>
    <t>ABC Agropecuária Brasil Norte SA Produção e Exportação</t>
  </si>
  <si>
    <t>Ecológica Assessoria Ltda.</t>
  </si>
  <si>
    <t>https://registry.verra.org/app/projectDetail/VCS/2558</t>
  </si>
  <si>
    <t xml:space="preserve">biodiversity conservation </t>
  </si>
  <si>
    <t xml:space="preserve">industrial agriculture or cattle ranching; illegal logging; infrastructure; slash and burn agriculture; industrial wood exploitation </t>
  </si>
  <si>
    <t>The ABC Norte REDD project is located in a private property named “Fazenda Pacajá” covered almost in its totality by native vegetation, totaling 145,680.7882 ha., which is situated between the municipality of Portel and Bagre, in the State of Pará, Northeast Amazon.</t>
  </si>
  <si>
    <t>Municipality: Portel and Bagre (between)</t>
  </si>
  <si>
    <t>Above ground; below ground</t>
  </si>
  <si>
    <t>Invesment analysis; common practice analysis,</t>
  </si>
  <si>
    <t>Payment for ecosystem service</t>
  </si>
  <si>
    <t xml:space="preserve">no </t>
  </si>
  <si>
    <t>The Social Responsibility Program holds workshops, lectures and training for the “ribeirinhos”, in order to promote the independence of communities from illegal deforestation,generating an alternative source of income. Activities such as: specialization in production systems (poultry, fish farming and agroforestry), craft workshops and biscuit production, environmental, financial and activity planning education, etc. The Company seeks to maintain the traditional local culture and insert communities into its production chain, generating jobs and regional development. The ABC Norte project also provides training for workers in reduced impact extraction, occupational safety, occupational health and safety, first aid and firefighting. Activities related to the Sustainable Forest Management Plan do not affect the food production of the communities. Social and environmental actions are carried out to introduce new forms of income and food for the community, such as raising chicken and fish.</t>
  </si>
  <si>
    <t>The project works to support communities transition away from illegal deforestation as a source of income</t>
  </si>
  <si>
    <t>Respects presense and rights of communities around the project area. Project located on private land.</t>
  </si>
  <si>
    <t>Education programs, workshops, meetings, consultations</t>
  </si>
  <si>
    <t xml:space="preserve">Yes </t>
  </si>
  <si>
    <t>Surveillance to control against illegal deforestation and deforestation agents</t>
  </si>
  <si>
    <t>Infrastructure to support monitoring and surveillance</t>
  </si>
  <si>
    <t>Training and education for alternative livelihoods</t>
  </si>
  <si>
    <t xml:space="preserve">yes </t>
  </si>
  <si>
    <t xml:space="preserve">Conditional </t>
  </si>
  <si>
    <t xml:space="preserve">Income via employment opportunities; ecotourism; </t>
  </si>
  <si>
    <t>increase by at least 50% the number of full time jobs; 30 full time jobs expected</t>
  </si>
  <si>
    <t>Training, social assistance, environmental education, ecotourism fire prevention, research</t>
  </si>
  <si>
    <t xml:space="preserve">Ecotourism </t>
  </si>
  <si>
    <t>Ecotourism sector; economic alternatives to agriculture; training; employment</t>
  </si>
  <si>
    <t>Aims to strengthen community forest-tenure rights through management agreements, mapping and boundary demarcation</t>
  </si>
  <si>
    <t>Monitoring, inspection, fire prevention</t>
  </si>
  <si>
    <t>Regeneration of patched deforestation</t>
  </si>
  <si>
    <t>education, awareness building and skills training</t>
  </si>
  <si>
    <t>Strengthening of two schools; maintenance of the cable network and internet in the project area; ecotourism activities</t>
  </si>
  <si>
    <t>School improvement; educational workshops and training</t>
  </si>
  <si>
    <t>biodiveristy conservation</t>
  </si>
  <si>
    <t xml:space="preserve">The project aims to preserve and conserve the Pantanal ecosystem. It has an emphasis on conservation and mitigating harmful GHGs. It also aims to protect and support wetland's rich biodiversity; foster socio-economic co-benefits to promote sustainable development. Project also aims to achieve poverty reduction and empower local community through strengthening of local governance and employment. Also involves ecotourism, fire prevention. </t>
  </si>
  <si>
    <t>industrial agriculture; cattle ranching</t>
  </si>
  <si>
    <t>Pantanal biome; located in two municipalities</t>
  </si>
  <si>
    <t>state; private; communities</t>
  </si>
  <si>
    <t>2016-2046</t>
  </si>
  <si>
    <t xml:space="preserve">Municipality: Poconé &amp; Corumbá </t>
  </si>
  <si>
    <t>States:Mato Grosso state &amp; Mato Grosso do Sul state</t>
  </si>
  <si>
    <t>2,837,764 </t>
  </si>
  <si>
    <t>above ground; below ground</t>
  </si>
  <si>
    <t>Co2</t>
  </si>
  <si>
    <t>Invesment analysis; barrier analysis; common practice analysis,</t>
  </si>
  <si>
    <t>approved</t>
  </si>
  <si>
    <t>THE SERRA DO AMOLAR REDD+ PROJECT</t>
  </si>
  <si>
    <t>Instituto Homem Pantaneiro</t>
  </si>
  <si>
    <t>NGO</t>
  </si>
  <si>
    <t>Consejo Comunitario Mayor de Condoto – Iró</t>
  </si>
  <si>
    <t>Terra Commodities SAS</t>
  </si>
  <si>
    <t>Carbo Sostenible SAS</t>
  </si>
  <si>
    <t xml:space="preserve">The CONDOTO REDD+ Project seeks the conservation of forests located in the territories of the afro communities organized as the Major Community Council of Condoto and Iró, located within the municipalities of Condoto and Río Iró, in the department of Chocó. The hole community territory is characterized for its high biodiversity and rain tropical forests, but also for the presence of deforestation activities and social conflicts.  The project aims to mitigate the effects caused by climate change by reducing CO2 emissions derived from deforestation and forest degradation, restore degraded forest lands, promote sustainable management of forests and develop productive activities to improve community welfare. The project also seeks to protect biodiversity and high conservation values, enhance ecological connectivity and secure natural habitats of vulnerable species (including those within some category of threat and those that represent ecological interest. Project has community objectives as well. </t>
  </si>
  <si>
    <t>mining; illegal logging; local livelihoods (subsistence agriculture)</t>
  </si>
  <si>
    <t>The Major Community Council of Condoto and Iró is in the Biogeographic Chocó Region, between the western mountain range and the Pacific Ocean, considered within the National Environmental Policy as a strategic ecosystem that must be conserved due to the valuable genetic and biodiversity resources that is present and to its main role in providing ecosystem services, welfare and livelihood for people in and outside this region. The municipality of Condoto is in the southeastern part of the department of Chocó, in the San Juan subregion. It is the second most relevant area politically, economically and administrative of the department, at an approximate distance of 90 kilometers from Quibdo, the capital city of this department.</t>
  </si>
  <si>
    <t>Department: Choco</t>
  </si>
  <si>
    <t>Municipality: Condot and Rio Iro</t>
  </si>
  <si>
    <t>2019-2049</t>
  </si>
  <si>
    <t>above ground; belowground; soil organic carbon</t>
  </si>
  <si>
    <t xml:space="preserve">Income via employment </t>
  </si>
  <si>
    <t>Training (skills); health service improvement; quality of education; increased water quality and access to drinking water; well-being improvement; improved land management</t>
  </si>
  <si>
    <t>Community beneficiaries will be trained and assisted to improve its productive activities (i.e.: agriculture, pisciculture, poultry farming), while committing to conservation of forest areas.</t>
  </si>
  <si>
    <t>Strengthen local governance and land use planning</t>
  </si>
  <si>
    <t>Surveillance, patrols, boosting capacity of forest rangers</t>
  </si>
  <si>
    <t>restoration of forests and degraded land</t>
  </si>
  <si>
    <t>education will be improved for 500 people; technical capacity strengthening via training for 240 people); social investment includes facilities and scholarships for community members to access formal education</t>
  </si>
  <si>
    <t>improved medical care (through building of health center); improving sanitation conditions for communities (drinking water, waste management, gas stoves to avoid firewood); education investment (adaptation of classrooms, libraries, labs; supporting access to higher education and training)</t>
  </si>
  <si>
    <t>expect 1400 community members' wellbeing to improve as a result of project activities (i.e. through income diversification, gender inclusion, health/sanitiation improvements, education investments)</t>
  </si>
  <si>
    <t xml:space="preserve">Peru </t>
  </si>
  <si>
    <t>TAHUAMANU AMAZON REDD PROJECT</t>
  </si>
  <si>
    <t>MADERACRE SAC</t>
  </si>
  <si>
    <t>150 people expected to be employed full time</t>
  </si>
  <si>
    <t>Health benefits (2000 people expected to receive improved health services); 377 people to benefit from greater education access; improved water quality and access to drinking water (3256 expected to benefit); training (96 people expected to have improved skills and knowledge); wellbeing improvements for 206 people</t>
  </si>
  <si>
    <t>wellbeing improvements for 206 people</t>
  </si>
  <si>
    <t>patrolling, working with other forest concessions and forest &amp; political authorities</t>
  </si>
  <si>
    <t>Promotion of productive activities that do not imply clearing of forests; support sustainable productive initatives of surrounding communities to reduce expansion of agrarian activities and improving livelihood contiions with 2% of projected income</t>
  </si>
  <si>
    <t>aims to strength land tenure and forest governance (e.g. demarcating forest and tenure and ownership boundaries)</t>
  </si>
  <si>
    <t xml:space="preserve">377 people with improved education; </t>
  </si>
  <si>
    <t>water, education and health improvements</t>
  </si>
  <si>
    <t>forest regenerationas part of biodiveristy impact</t>
  </si>
  <si>
    <t>The proposed project is based on the enhancement and strengthening of the sustainable forest management of a consolidated group of forest concessions managed by a local company with long forest tradition, Maderera Río Acre SAC (hereinafter MADERACRE SAC), who also has previous successful experience with REDD+. The project is located in Madre de Dios, a region in the south-east of the Peruvian Amazon with the most
accelerated deforestation rate of Peru.</t>
  </si>
  <si>
    <t>agriculture; illegal logging</t>
  </si>
  <si>
    <t>Natural Protected Area</t>
  </si>
  <si>
    <t>public</t>
  </si>
  <si>
    <t xml:space="preserve">Madre de Dios Region, Peru </t>
  </si>
  <si>
    <t>Region: Madre de Dios</t>
  </si>
  <si>
    <t>District: Iberia, Tahuamanu, Iñapari, Las Piedras</t>
  </si>
  <si>
    <t>Above ground; below ground; wood products</t>
  </si>
  <si>
    <t>Investment analysis; common practice analysis</t>
  </si>
  <si>
    <t>registerd</t>
  </si>
  <si>
    <t>To have a restored, well-functioning and sustainably managed protected area that serves as anchor point and contributes to the security of the larger landscape and the planning, execution and long-term management of natural resource use around the protected area.</t>
  </si>
  <si>
    <t>African Parks RCA</t>
  </si>
  <si>
    <t>community</t>
  </si>
  <si>
    <t>local livelihoods; slash and burn agriculture</t>
  </si>
  <si>
    <t>Chinko Conservation Area</t>
  </si>
  <si>
    <t>Eastern Central African Republic</t>
  </si>
  <si>
    <t>Prefectures: Mbomou, Haute-Kotto, Haut-Mbomou</t>
  </si>
  <si>
    <t>2016-2045</t>
  </si>
  <si>
    <t>CO2, CH4, NO2</t>
  </si>
  <si>
    <t>Income via employment</t>
  </si>
  <si>
    <t xml:space="preserve">Training, employment, livelihoods, health services improved (400 people), education (500 community members), water, biodiversity </t>
  </si>
  <si>
    <t xml:space="preserve">law enforcement, patrolling, monitoring of transhumance pastrolaism corridors (i.e.  explain park borders, ecological interactions, conservation goals and sustainable land use approaches to nomadic and local herders) </t>
  </si>
  <si>
    <t>increase in access and quality of education via sensitisation programs, courses in ecology, conservation, economics and other subjects.African Parks also works closely with students at the University of Bangui and the technical school of Mbaiki. Training for 400 employees, exchanges with around 2000 people.</t>
  </si>
  <si>
    <t>Increased natural capital through the restoration of resilient and productive ecosystems. The project aims to restore species rich and productive woodland and grassland savannas, tropical forests and productive freshwater systems. This will result in higher wildlife densities, restoration of threatened species and reintroduction of locally extinct species.</t>
  </si>
  <si>
    <t>telecommunications, administrative facilities, roads, bomas, workshops and housing and the ongoing maintenance of this infrastructure and equipment.</t>
  </si>
  <si>
    <t>wellbeing improvements for 2000 people across 35 communities; i) education, sensitization and training in sustainable use of natural resources ii) co- management and ownership of natural resources and ii) the responsible exploitation of minerals</t>
  </si>
  <si>
    <t>Central African Republic in the prefectures of Mbomou, Haute-Kotto and Haut-Mbomou</t>
  </si>
  <si>
    <t>agriculture; other</t>
  </si>
  <si>
    <t>The main activities in relation to this are sensitise pastoralists to promote sustainable use of natural resources in line with the land-use plan and establish transhumant pastoralism corridors</t>
  </si>
  <si>
    <t>Type of Non-cash benefit</t>
  </si>
  <si>
    <t>Type of restriction</t>
  </si>
  <si>
    <t>Type of enhancement</t>
  </si>
  <si>
    <t>Type of infrastructure</t>
  </si>
  <si>
    <t>Type of wellbeing</t>
  </si>
  <si>
    <t>nationality</t>
  </si>
  <si>
    <t>United States;Colombia</t>
  </si>
  <si>
    <t>private for-profit;ngo/private non for profit</t>
  </si>
  <si>
    <t>ngo/private non for profit</t>
  </si>
  <si>
    <t>private for profit</t>
  </si>
  <si>
    <t>Switzerland;United States;Belize</t>
  </si>
  <si>
    <t>private for profit;ngo/private non for profit</t>
  </si>
  <si>
    <t>ngo/private non for profit;private for profit</t>
  </si>
  <si>
    <t>United States;Brazil</t>
  </si>
  <si>
    <t>Canada;United States</t>
  </si>
  <si>
    <t>United States;Madagascar</t>
  </si>
  <si>
    <t>ngo/private non for profit;public</t>
  </si>
  <si>
    <t>Zambia;Germany</t>
  </si>
  <si>
    <t>public;ngo/private non for profit</t>
  </si>
  <si>
    <t>United States;Cambodia</t>
  </si>
  <si>
    <t>ngo/private non for profit;public;private for profit</t>
  </si>
  <si>
    <t>Austria;Lao People's Democratic Republic</t>
  </si>
  <si>
    <t>Cambodia;United States</t>
  </si>
  <si>
    <t>private for profit;local communities/landowners/cooperatives</t>
  </si>
  <si>
    <t>PES</t>
  </si>
  <si>
    <t>Job</t>
  </si>
  <si>
    <t>Pension; PES</t>
  </si>
  <si>
    <t>Job; Ecotourism</t>
  </si>
  <si>
    <t xml:space="preserve">Job </t>
  </si>
  <si>
    <t>Ecotourism</t>
  </si>
  <si>
    <t>Job; Grant</t>
  </si>
  <si>
    <t>Carbon revenue sharing</t>
  </si>
  <si>
    <t>Carbon revenue sharing; Indirect income</t>
  </si>
  <si>
    <t>None</t>
  </si>
  <si>
    <t>Programs related to economic activities; No cash payment will be made to community, since no community live within the project ara. But, surrounding community will be supported  in  legal  land  ownership  rights  provision,  capacity development  activities  related  to  agroforestry,  land  ownership  rights  acquisition  from government, improved cook stoves distribution</t>
  </si>
  <si>
    <t>Training &amp; Capacity Building; Infrastructure &amp; Equipment; Microfinance &amp; Enterprise Support</t>
  </si>
  <si>
    <t>Training &amp; Capacity Building</t>
  </si>
  <si>
    <t>Training &amp; Capacity Building; Microfinance &amp; Enterprise Support</t>
  </si>
  <si>
    <t>Training &amp; Capacity Building; Agricultural &amp; Livelihood Support</t>
  </si>
  <si>
    <t>Training &amp; Capacity Building; Infrastructure &amp; Equipment</t>
  </si>
  <si>
    <t>Training &amp; Capacity Building; Agricultural &amp; Livelihood Support; Infrastructure &amp; Equipment</t>
  </si>
  <si>
    <t>Infrastructure &amp; Equipment</t>
  </si>
  <si>
    <t>Training &amp; Capacity Building; Legal &amp; Land Rights; Infrastructure &amp; Equipment</t>
  </si>
  <si>
    <t>Agricultural &amp; Livelihood Support; Infrastructure &amp; Equipment</t>
  </si>
  <si>
    <t>Infrastructure &amp; Equipment; Agricultural &amp; Livelihood Support</t>
  </si>
  <si>
    <t>Training &amp; Capacity Building; Health Services; Infrastructure &amp; Equipment</t>
  </si>
  <si>
    <t>Training &amp; Capacity Building; Health Services; Water &amp; Sanitation; Agricultural &amp; Livelihood Support</t>
  </si>
  <si>
    <t>Health Services; Water &amp; Sanitation; Training &amp; Capacity Building</t>
  </si>
  <si>
    <t>Type of Tenure</t>
  </si>
  <si>
    <t>Land use planning &amp; demarcation</t>
  </si>
  <si>
    <t>Land titling &amp; tenure security</t>
  </si>
  <si>
    <t>Land titling &amp; tenure security; Land use planning &amp; demarcation</t>
  </si>
  <si>
    <t>Patrolling &amp; surveillance</t>
  </si>
  <si>
    <t>Patrolling &amp; surveillance; Monitoring</t>
  </si>
  <si>
    <t xml:space="preserve">Monitoring </t>
  </si>
  <si>
    <t>Training &amp; Capacity Building; Agricultural &amp; Livelihood Support; Microfinance &amp; Enterprise Support; Health Services; Water &amp; Sanitation</t>
  </si>
  <si>
    <t>Training &amp; Capacity Building; Microfinance &amp; Enterprise Support; Health Services</t>
  </si>
  <si>
    <t>Training &amp; Capacity Building; Microfinance &amp; Enterprise Support; Water &amp; Sanitation</t>
  </si>
  <si>
    <t>Training &amp; Capacity Building; Health Services; Infrastructure &amp; Equipment; Water &amp; Sanitation</t>
  </si>
  <si>
    <t>Training &amp; Capacity Building; Infrastructure &amp; Equipment; Health Services</t>
  </si>
  <si>
    <t xml:space="preserve">Training &amp; Capacity Building; Health Services </t>
  </si>
  <si>
    <t>Training &amp; Capacity Building; Health Services</t>
  </si>
  <si>
    <t>Training &amp; Capacity Building; Health Services; Water &amp; Sanitation</t>
  </si>
  <si>
    <t>Training &amp; Capacity Building; Infrastructure &amp; Equipment; Water &amp; Sanitation</t>
  </si>
  <si>
    <t>Health Services</t>
  </si>
  <si>
    <t>Training &amp; Capacity Building; Microfinance &amp; Enterprise Support; Health Services; Infrastructure &amp; Equipment</t>
  </si>
  <si>
    <t>VCS Methodology</t>
  </si>
  <si>
    <t>VM0015</t>
  </si>
  <si>
    <t>VM0007</t>
  </si>
  <si>
    <t>VM0006</t>
  </si>
  <si>
    <t>VM0009</t>
  </si>
  <si>
    <t>ID</t>
  </si>
  <si>
    <t>type_proponent_developer</t>
  </si>
  <si>
    <t>Missing from ID-RECCO -- Coded manually from Verra Registry project documents found here: https://registry.verra.org/app/search/VCS</t>
  </si>
  <si>
    <t>Type of Monetary Benefit</t>
  </si>
  <si>
    <t>Isolating partners who are proponents/developers specifically: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</si>
</sst>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b/>
      <sz val="12"/>
      <color theme="1"/>
      <name val="Aptos Narrow"/>
      <scheme val="minor"/>
    </font>
    <font>
      <sz val="12"/>
      <color rgb="FF000000"/>
      <name val="Aptos Narrow"/>
      <family val="2"/>
      <scheme val="minor"/>
    </font>
    <font>
      <sz val="12"/>
      <color rgb="FFFF0000"/>
      <name val="Aptos Narrow"/>
      <family val="2"/>
      <scheme val="minor"/>
    </font>
    <font>
      <sz val="12"/>
      <color theme="5"/>
      <name val="Aptos Narrow"/>
      <family val="2"/>
      <scheme val="minor"/>
    </font>
    <font>
      <sz val="11"/>
      <name val="Aptos Narrow"/>
      <family val="2"/>
      <scheme val="minor"/>
    </font>
    <font>
      <b/>
      <sz val="11"/>
      <color theme="1"/>
      <name val="Aptos Narrow"/>
      <family val="2"/>
      <scheme val="minor"/>
    </font>
    <font>
      <b/>
      <sz val="11"/>
      <name val="Aptos Narrow"/>
      <family val="2"/>
      <scheme val="minor"/>
    </font>
    <font>
      <sz val="11"/>
      <color theme="1"/>
      <name val="Aptos Narrow"/>
      <family val="2"/>
      <scheme val="minor"/>
    </font>
    <font>
      <b/>
      <sz val="11"/>
      <name val="Calibri"/>
      <family val="2"/>
    </font>
    <font>
      <u/>
      <sz val="12"/>
      <color theme="10"/>
      <name val="Aptos Narrow"/>
      <family val="2"/>
      <scheme val="minor"/>
    </font>
    <font>
      <sz val="11"/>
      <color rgb="FF000000"/>
      <name val="Helvetica"/>
      <family val="2"/>
    </font>
    <font>
      <sz val="10"/>
      <color rgb="FF000000"/>
      <name val="Arial"/>
      <family val="2"/>
    </font>
    <font>
      <sz val="13"/>
      <color rgb="FF212529"/>
      <name val="Helvetica Neue"/>
      <family val="2"/>
    </font>
    <font>
      <sz val="12"/>
      <name val="Aptos Narrow"/>
      <family val="2"/>
      <scheme val="minor"/>
    </font>
    <font>
      <sz val="12"/>
      <color rgb="FFFFC000"/>
      <name val="Aptos Narrow"/>
      <family val="2"/>
      <scheme val="minor"/>
    </font>
    <font>
      <sz val="8"/>
      <name val="Aptos Narrow"/>
      <family val="2"/>
      <scheme val="minor"/>
    </font>
    <font>
      <sz val="12"/>
      <color theme="3"/>
      <name val="Aptos Narrow"/>
      <family val="2"/>
      <scheme val="minor"/>
    </font>
    <font>
      <b/>
      <sz val="11"/>
      <name val="Aptos Narrow"/>
      <scheme val="minor"/>
    </font>
  </fonts>
  <fills count="7">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AAFFBD"/>
        <bgColor indexed="64"/>
      </patternFill>
    </fill>
    <fill>
      <patternFill patternType="solid">
        <fgColor theme="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3">
    <xf numFmtId="0" fontId="0" fillId="0" borderId="0"/>
    <xf numFmtId="0" fontId="8" fillId="0" borderId="0"/>
    <xf numFmtId="0" fontId="10" fillId="0" borderId="0" applyNumberFormat="0" applyFill="0" applyBorder="0" applyAlignment="0" applyProtection="0"/>
  </cellStyleXfs>
  <cellXfs count="29">
    <xf numFmtId="0" fontId="0" fillId="0" borderId="0" xfId="0"/>
    <xf numFmtId="0" fontId="1" fillId="2" borderId="0" xfId="0" applyFont="1" applyFill="1"/>
    <xf numFmtId="0" fontId="4" fillId="0" borderId="0" xfId="0" applyFont="1"/>
    <xf numFmtId="0" fontId="3" fillId="0" borderId="0" xfId="0" applyFont="1"/>
    <xf numFmtId="0" fontId="5" fillId="0" borderId="0" xfId="0" applyFont="1"/>
    <xf numFmtId="0" fontId="0" fillId="0" borderId="0" xfId="0" applyAlignment="1">
      <alignment wrapText="1"/>
    </xf>
    <xf numFmtId="0" fontId="6" fillId="3" borderId="0" xfId="0" applyFont="1" applyFill="1"/>
    <xf numFmtId="0" fontId="7" fillId="3" borderId="0" xfId="0" applyFont="1" applyFill="1"/>
    <xf numFmtId="0" fontId="1" fillId="0" borderId="0" xfId="0" applyFont="1"/>
    <xf numFmtId="0" fontId="2" fillId="0" borderId="0" xfId="0" applyFont="1"/>
    <xf numFmtId="0" fontId="1" fillId="5" borderId="0" xfId="0" applyFont="1" applyFill="1"/>
    <xf numFmtId="0" fontId="10" fillId="0" borderId="0" xfId="2"/>
    <xf numFmtId="3" fontId="0" fillId="0" borderId="0" xfId="0" applyNumberFormat="1"/>
    <xf numFmtId="0" fontId="12" fillId="0" borderId="0" xfId="0" applyFont="1"/>
    <xf numFmtId="4" fontId="0" fillId="0" borderId="0" xfId="0" applyNumberFormat="1"/>
    <xf numFmtId="0" fontId="8" fillId="0" borderId="0" xfId="1"/>
    <xf numFmtId="0" fontId="13" fillId="0" borderId="0" xfId="0" applyFont="1"/>
    <xf numFmtId="0" fontId="6" fillId="6" borderId="0" xfId="0" applyFont="1" applyFill="1"/>
    <xf numFmtId="0" fontId="7" fillId="6" borderId="0" xfId="0" applyFont="1" applyFill="1"/>
    <xf numFmtId="0" fontId="14" fillId="0" borderId="0" xfId="0" applyFont="1"/>
    <xf numFmtId="0" fontId="15" fillId="0" borderId="0" xfId="0" applyFont="1"/>
    <xf numFmtId="0" fontId="11" fillId="0" borderId="0" xfId="0" applyFont="1" applyAlignment="1">
      <alignment wrapText="1"/>
    </xf>
    <xf numFmtId="0" fontId="6" fillId="3" borderId="0" xfId="0" applyFont="1" applyFill="1" applyAlignment="1">
      <alignment wrapText="1"/>
    </xf>
    <xf numFmtId="0" fontId="11" fillId="0" borderId="0" xfId="0" applyFont="1"/>
    <xf numFmtId="0" fontId="17" fillId="0" borderId="0" xfId="0" applyFont="1"/>
    <xf numFmtId="0" fontId="9" fillId="4" borderId="2" xfId="0" applyFont="1" applyFill="1" applyBorder="1" applyAlignment="1">
      <alignment horizontal="center" vertical="top"/>
    </xf>
    <xf numFmtId="0" fontId="18" fillId="3" borderId="0" xfId="0" applyFont="1" applyFill="1"/>
    <xf numFmtId="0" fontId="1" fillId="3" borderId="0" xfId="0" applyFont="1" applyFill="1"/>
    <xf numFmtId="0" fontId="9" fillId="3" borderId="1" xfId="0" applyFont="1" applyFill="1" applyBorder="1" applyAlignment="1">
      <alignment horizontal="center" vertical="top"/>
    </xf>
  </cellXfs>
  <cellStyles count="3">
    <cellStyle name="Hyperlink" xfId="2" builtinId="8"/>
    <cellStyle name="Normal" xfId="0" builtinId="0"/>
    <cellStyle name="Normal 3" xfId="1" xr:uid="{ADDB1B42-10C9-A746-A018-5DA3AB599EB6}"/>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B7B0"/>
        </patternFill>
      </fill>
    </dxf>
    <dxf>
      <fill>
        <patternFill>
          <bgColor rgb="FFAAFFBD"/>
        </patternFill>
      </fill>
    </dxf>
    <dxf>
      <font>
        <color rgb="FF9C0006"/>
      </font>
      <fill>
        <patternFill>
          <bgColor rgb="FFFFC7CE"/>
        </patternFill>
      </fill>
    </dxf>
  </dxfs>
  <tableStyles count="0" defaultTableStyle="TableStyleMedium2" defaultPivotStyle="PivotStyleLight16"/>
  <colors>
    <mruColors>
      <color rgb="FFFFB7B0"/>
      <color rgb="FFAAFF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hyperlink" Target="https://registry.verra.org/app/projectDetail/VCS/255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2DAEC-B3C5-CD4B-9BA9-FFD1FBE828CD}">
  <dimension ref="A1:G53"/>
  <sheetViews>
    <sheetView zoomScale="75" zoomScaleNormal="179" workbookViewId="0"/>
  </sheetViews>
  <sheetFormatPr baseColWidth="10" defaultRowHeight="16" x14ac:dyDescent="0.2"/>
  <cols>
    <col min="1" max="1" width="34.6640625" customWidth="1"/>
    <col min="2" max="2" width="21.6640625" customWidth="1"/>
    <col min="3" max="3" width="22.1640625" customWidth="1"/>
    <col min="4" max="4" width="50.6640625" customWidth="1"/>
  </cols>
  <sheetData>
    <row r="1" spans="1:7" x14ac:dyDescent="0.2">
      <c r="A1" s="1" t="s">
        <v>0</v>
      </c>
      <c r="B1" s="1" t="s">
        <v>1</v>
      </c>
      <c r="C1" s="1" t="s">
        <v>2</v>
      </c>
      <c r="D1" s="1" t="s">
        <v>16</v>
      </c>
    </row>
    <row r="2" spans="1:7" x14ac:dyDescent="0.2">
      <c r="A2">
        <v>875</v>
      </c>
      <c r="B2">
        <v>234</v>
      </c>
      <c r="C2" t="s">
        <v>3</v>
      </c>
      <c r="D2" t="s">
        <v>17</v>
      </c>
    </row>
    <row r="3" spans="1:7" x14ac:dyDescent="0.2">
      <c r="A3">
        <v>963</v>
      </c>
      <c r="B3">
        <v>237</v>
      </c>
      <c r="C3" t="s">
        <v>3</v>
      </c>
      <c r="D3" t="s">
        <v>18</v>
      </c>
    </row>
    <row r="4" spans="1:7" x14ac:dyDescent="0.2">
      <c r="A4" s="2">
        <v>977</v>
      </c>
      <c r="B4">
        <v>236</v>
      </c>
      <c r="C4" t="s">
        <v>3</v>
      </c>
      <c r="D4" t="s">
        <v>19</v>
      </c>
    </row>
    <row r="5" spans="1:7" x14ac:dyDescent="0.2">
      <c r="A5" s="2">
        <v>981</v>
      </c>
      <c r="B5">
        <v>901</v>
      </c>
      <c r="C5" t="s">
        <v>3</v>
      </c>
      <c r="D5" t="s">
        <v>20</v>
      </c>
    </row>
    <row r="6" spans="1:7" x14ac:dyDescent="0.2">
      <c r="A6">
        <v>1112</v>
      </c>
      <c r="B6">
        <v>300</v>
      </c>
      <c r="C6" t="s">
        <v>3</v>
      </c>
      <c r="D6" t="s">
        <v>21</v>
      </c>
    </row>
    <row r="7" spans="1:7" x14ac:dyDescent="0.2">
      <c r="A7">
        <v>1113</v>
      </c>
      <c r="B7">
        <v>299</v>
      </c>
      <c r="C7" t="s">
        <v>3</v>
      </c>
      <c r="D7" t="s">
        <v>22</v>
      </c>
    </row>
    <row r="8" spans="1:7" x14ac:dyDescent="0.2">
      <c r="A8">
        <v>1115</v>
      </c>
      <c r="B8">
        <v>270</v>
      </c>
      <c r="C8" t="s">
        <v>3</v>
      </c>
      <c r="D8" t="s">
        <v>23</v>
      </c>
    </row>
    <row r="9" spans="1:7" x14ac:dyDescent="0.2">
      <c r="A9">
        <v>1118</v>
      </c>
      <c r="B9">
        <v>246</v>
      </c>
      <c r="C9" t="s">
        <v>3</v>
      </c>
      <c r="D9" t="s">
        <v>24</v>
      </c>
    </row>
    <row r="10" spans="1:7" x14ac:dyDescent="0.2">
      <c r="A10">
        <v>1329</v>
      </c>
      <c r="B10">
        <v>271</v>
      </c>
      <c r="C10" t="s">
        <v>3</v>
      </c>
      <c r="D10" t="s">
        <v>25</v>
      </c>
    </row>
    <row r="11" spans="1:7" x14ac:dyDescent="0.2">
      <c r="A11">
        <v>1503</v>
      </c>
      <c r="B11">
        <v>272</v>
      </c>
      <c r="C11" t="s">
        <v>3</v>
      </c>
      <c r="D11" t="s">
        <v>26</v>
      </c>
      <c r="G11" s="2"/>
    </row>
    <row r="12" spans="1:7" x14ac:dyDescent="0.2">
      <c r="A12">
        <v>1571</v>
      </c>
      <c r="B12">
        <v>819</v>
      </c>
      <c r="C12" t="s">
        <v>3</v>
      </c>
      <c r="D12" t="s">
        <v>27</v>
      </c>
      <c r="G12" s="3"/>
    </row>
    <row r="13" spans="1:7" x14ac:dyDescent="0.2">
      <c r="A13">
        <v>1654</v>
      </c>
      <c r="B13">
        <v>813</v>
      </c>
      <c r="C13" t="s">
        <v>3</v>
      </c>
      <c r="D13" t="s">
        <v>28</v>
      </c>
    </row>
    <row r="14" spans="1:7" x14ac:dyDescent="0.2">
      <c r="A14">
        <v>1686</v>
      </c>
      <c r="B14">
        <v>841</v>
      </c>
      <c r="C14" t="s">
        <v>3</v>
      </c>
      <c r="D14" t="s">
        <v>29</v>
      </c>
    </row>
    <row r="15" spans="1:7" x14ac:dyDescent="0.2">
      <c r="A15">
        <v>2252</v>
      </c>
      <c r="B15">
        <v>853</v>
      </c>
      <c r="C15" t="s">
        <v>3</v>
      </c>
      <c r="D15" t="s">
        <v>30</v>
      </c>
    </row>
    <row r="16" spans="1:7" x14ac:dyDescent="0.2">
      <c r="A16" s="2">
        <v>2373</v>
      </c>
      <c r="B16">
        <v>893</v>
      </c>
      <c r="C16" t="s">
        <v>3</v>
      </c>
      <c r="D16" t="s">
        <v>31</v>
      </c>
    </row>
    <row r="17" spans="1:4" x14ac:dyDescent="0.2">
      <c r="A17" s="2">
        <v>2508</v>
      </c>
      <c r="B17">
        <v>896</v>
      </c>
      <c r="C17" t="s">
        <v>3</v>
      </c>
      <c r="D17" t="s">
        <v>32</v>
      </c>
    </row>
    <row r="18" spans="1:4" x14ac:dyDescent="0.2">
      <c r="A18">
        <v>2539</v>
      </c>
      <c r="B18">
        <v>895</v>
      </c>
      <c r="C18" t="s">
        <v>3</v>
      </c>
      <c r="D18" t="s">
        <v>33</v>
      </c>
    </row>
    <row r="19" spans="1:4" x14ac:dyDescent="0.2">
      <c r="A19" s="3">
        <v>2558</v>
      </c>
      <c r="C19" t="s">
        <v>3</v>
      </c>
      <c r="D19" t="s">
        <v>34</v>
      </c>
    </row>
    <row r="20" spans="1:4" x14ac:dyDescent="0.2">
      <c r="A20" s="2">
        <v>2566</v>
      </c>
      <c r="C20" t="s">
        <v>3</v>
      </c>
      <c r="D20" t="s">
        <v>35</v>
      </c>
    </row>
    <row r="21" spans="1:4" x14ac:dyDescent="0.2">
      <c r="A21">
        <v>856</v>
      </c>
      <c r="B21">
        <v>137</v>
      </c>
      <c r="C21" t="s">
        <v>4</v>
      </c>
      <c r="D21" t="s">
        <v>36</v>
      </c>
    </row>
    <row r="22" spans="1:4" x14ac:dyDescent="0.2">
      <c r="A22" s="2">
        <v>1389</v>
      </c>
      <c r="B22">
        <v>812</v>
      </c>
      <c r="C22" t="s">
        <v>4</v>
      </c>
      <c r="D22" t="s">
        <v>37</v>
      </c>
    </row>
    <row r="23" spans="1:4" x14ac:dyDescent="0.2">
      <c r="A23">
        <v>1390</v>
      </c>
      <c r="B23">
        <v>809</v>
      </c>
      <c r="C23" t="s">
        <v>4</v>
      </c>
      <c r="D23" t="s">
        <v>38</v>
      </c>
    </row>
    <row r="24" spans="1:4" x14ac:dyDescent="0.2">
      <c r="A24">
        <v>1391</v>
      </c>
      <c r="B24">
        <v>810</v>
      </c>
      <c r="C24" t="s">
        <v>4</v>
      </c>
      <c r="D24" t="s">
        <v>39</v>
      </c>
    </row>
    <row r="25" spans="1:4" x14ac:dyDescent="0.2">
      <c r="A25">
        <v>1392</v>
      </c>
      <c r="B25">
        <v>808</v>
      </c>
      <c r="C25" t="s">
        <v>4</v>
      </c>
      <c r="D25" t="s">
        <v>40</v>
      </c>
    </row>
    <row r="26" spans="1:4" x14ac:dyDescent="0.2">
      <c r="A26">
        <v>1395</v>
      </c>
      <c r="B26">
        <v>811</v>
      </c>
      <c r="C26" t="s">
        <v>4</v>
      </c>
      <c r="D26" t="s">
        <v>41</v>
      </c>
    </row>
    <row r="27" spans="1:4" x14ac:dyDescent="0.2">
      <c r="A27">
        <v>1396</v>
      </c>
      <c r="B27">
        <v>805</v>
      </c>
      <c r="C27" t="s">
        <v>4</v>
      </c>
      <c r="D27" t="s">
        <v>42</v>
      </c>
    </row>
    <row r="28" spans="1:4" x14ac:dyDescent="0.2">
      <c r="A28">
        <v>1399</v>
      </c>
      <c r="B28">
        <v>807</v>
      </c>
      <c r="C28" t="s">
        <v>4</v>
      </c>
      <c r="D28" t="s">
        <v>43</v>
      </c>
    </row>
    <row r="29" spans="1:4" x14ac:dyDescent="0.2">
      <c r="A29">
        <v>1400</v>
      </c>
      <c r="B29">
        <v>806</v>
      </c>
      <c r="C29" t="s">
        <v>4</v>
      </c>
      <c r="D29" t="s">
        <v>44</v>
      </c>
    </row>
    <row r="30" spans="1:4" x14ac:dyDescent="0.2">
      <c r="A30">
        <v>1566</v>
      </c>
      <c r="B30">
        <v>818</v>
      </c>
      <c r="C30" t="s">
        <v>4</v>
      </c>
      <c r="D30" t="s">
        <v>68</v>
      </c>
    </row>
    <row r="31" spans="1:4" x14ac:dyDescent="0.2">
      <c r="A31">
        <v>2723</v>
      </c>
      <c r="C31" t="s">
        <v>4</v>
      </c>
      <c r="D31" t="s">
        <v>45</v>
      </c>
    </row>
    <row r="32" spans="1:4" x14ac:dyDescent="0.2">
      <c r="A32">
        <v>844</v>
      </c>
      <c r="B32">
        <v>205</v>
      </c>
      <c r="C32" t="s">
        <v>5</v>
      </c>
      <c r="D32" t="s">
        <v>46</v>
      </c>
    </row>
    <row r="33" spans="1:4" x14ac:dyDescent="0.2">
      <c r="A33">
        <v>944</v>
      </c>
      <c r="B33">
        <v>204</v>
      </c>
      <c r="C33" t="s">
        <v>5</v>
      </c>
      <c r="D33" t="s">
        <v>47</v>
      </c>
    </row>
    <row r="34" spans="1:4" x14ac:dyDescent="0.2">
      <c r="A34">
        <v>958</v>
      </c>
      <c r="B34">
        <v>202</v>
      </c>
      <c r="C34" t="s">
        <v>5</v>
      </c>
      <c r="D34" t="s">
        <v>48</v>
      </c>
    </row>
    <row r="35" spans="1:4" x14ac:dyDescent="0.2">
      <c r="A35">
        <v>985</v>
      </c>
      <c r="B35">
        <v>215</v>
      </c>
      <c r="C35" t="s">
        <v>5</v>
      </c>
      <c r="D35" t="s">
        <v>49</v>
      </c>
    </row>
    <row r="36" spans="1:4" x14ac:dyDescent="0.2">
      <c r="A36">
        <v>1067</v>
      </c>
      <c r="B36">
        <v>201</v>
      </c>
      <c r="C36" t="s">
        <v>5</v>
      </c>
      <c r="D36" t="s">
        <v>67</v>
      </c>
    </row>
    <row r="37" spans="1:4" x14ac:dyDescent="0.2">
      <c r="A37">
        <v>1218</v>
      </c>
      <c r="B37">
        <v>221</v>
      </c>
      <c r="C37" t="s">
        <v>5</v>
      </c>
      <c r="D37" t="s">
        <v>66</v>
      </c>
    </row>
    <row r="38" spans="1:4" x14ac:dyDescent="0.2">
      <c r="A38">
        <v>1360</v>
      </c>
      <c r="B38">
        <v>293</v>
      </c>
      <c r="C38" t="s">
        <v>5</v>
      </c>
      <c r="D38" t="s">
        <v>65</v>
      </c>
    </row>
    <row r="39" spans="1:4" x14ac:dyDescent="0.2">
      <c r="A39" s="3">
        <v>1799</v>
      </c>
      <c r="B39">
        <v>951</v>
      </c>
      <c r="C39" t="s">
        <v>5</v>
      </c>
      <c r="D39" t="s">
        <v>64</v>
      </c>
    </row>
    <row r="40" spans="1:4" x14ac:dyDescent="0.2">
      <c r="A40">
        <v>1882</v>
      </c>
      <c r="B40">
        <v>224</v>
      </c>
      <c r="C40" t="s">
        <v>5</v>
      </c>
      <c r="D40" t="s">
        <v>50</v>
      </c>
    </row>
    <row r="41" spans="1:4" x14ac:dyDescent="0.2">
      <c r="A41">
        <v>2278</v>
      </c>
      <c r="B41">
        <v>854</v>
      </c>
      <c r="C41" t="s">
        <v>5</v>
      </c>
      <c r="D41" t="s">
        <v>51</v>
      </c>
    </row>
    <row r="42" spans="1:4" x14ac:dyDescent="0.2">
      <c r="A42">
        <v>2502</v>
      </c>
      <c r="C42" t="s">
        <v>5</v>
      </c>
      <c r="D42" t="s">
        <v>52</v>
      </c>
    </row>
    <row r="43" spans="1:4" x14ac:dyDescent="0.2">
      <c r="A43" s="3" t="s">
        <v>6</v>
      </c>
      <c r="C43" t="s">
        <v>7</v>
      </c>
      <c r="D43" t="s">
        <v>53</v>
      </c>
    </row>
    <row r="44" spans="1:4" x14ac:dyDescent="0.2">
      <c r="A44">
        <v>934</v>
      </c>
      <c r="B44">
        <v>301</v>
      </c>
      <c r="C44" t="s">
        <v>8</v>
      </c>
      <c r="D44" t="s">
        <v>54</v>
      </c>
    </row>
    <row r="45" spans="1:4" x14ac:dyDescent="0.2">
      <c r="A45">
        <v>1311</v>
      </c>
      <c r="B45">
        <v>410</v>
      </c>
      <c r="C45" t="s">
        <v>9</v>
      </c>
      <c r="D45" t="s">
        <v>55</v>
      </c>
    </row>
    <row r="46" spans="1:4" x14ac:dyDescent="0.2">
      <c r="A46">
        <v>1674</v>
      </c>
      <c r="B46">
        <v>446</v>
      </c>
      <c r="C46" t="s">
        <v>10</v>
      </c>
      <c r="D46" t="s">
        <v>56</v>
      </c>
    </row>
    <row r="47" spans="1:4" x14ac:dyDescent="0.2">
      <c r="A47">
        <v>1201</v>
      </c>
      <c r="B47">
        <v>400</v>
      </c>
      <c r="C47" t="s">
        <v>11</v>
      </c>
      <c r="D47" t="s">
        <v>57</v>
      </c>
    </row>
    <row r="48" spans="1:4" x14ac:dyDescent="0.2">
      <c r="A48">
        <v>1897</v>
      </c>
      <c r="B48">
        <v>455</v>
      </c>
      <c r="C48" t="s">
        <v>12</v>
      </c>
      <c r="D48" t="s">
        <v>58</v>
      </c>
    </row>
    <row r="49" spans="1:4" x14ac:dyDescent="0.2">
      <c r="A49">
        <v>1202</v>
      </c>
      <c r="B49">
        <v>367</v>
      </c>
      <c r="C49" t="s">
        <v>13</v>
      </c>
      <c r="D49" t="s">
        <v>59</v>
      </c>
    </row>
    <row r="50" spans="1:4" x14ac:dyDescent="0.2">
      <c r="A50">
        <v>1775</v>
      </c>
      <c r="B50">
        <v>442</v>
      </c>
      <c r="C50" t="s">
        <v>13</v>
      </c>
      <c r="D50" t="s">
        <v>60</v>
      </c>
    </row>
    <row r="51" spans="1:4" x14ac:dyDescent="0.2">
      <c r="A51">
        <v>904</v>
      </c>
      <c r="B51">
        <v>563</v>
      </c>
      <c r="C51" t="s">
        <v>14</v>
      </c>
      <c r="D51" t="s">
        <v>63</v>
      </c>
    </row>
    <row r="52" spans="1:4" x14ac:dyDescent="0.2">
      <c r="A52">
        <v>1650</v>
      </c>
      <c r="B52">
        <v>588</v>
      </c>
      <c r="C52" t="s">
        <v>14</v>
      </c>
      <c r="D52" t="s">
        <v>62</v>
      </c>
    </row>
    <row r="53" spans="1:4" x14ac:dyDescent="0.2">
      <c r="A53" s="3">
        <v>1398</v>
      </c>
      <c r="B53">
        <v>571</v>
      </c>
      <c r="C53" t="s">
        <v>15</v>
      </c>
      <c r="D53"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64EA2-2734-C040-AED7-3DF23710FF4F}">
  <dimension ref="A1:B57"/>
  <sheetViews>
    <sheetView workbookViewId="0"/>
  </sheetViews>
  <sheetFormatPr baseColWidth="10" defaultRowHeight="16" x14ac:dyDescent="0.2"/>
  <cols>
    <col min="1" max="1" width="14.6640625" customWidth="1"/>
    <col min="2" max="2" width="44.33203125" customWidth="1"/>
  </cols>
  <sheetData>
    <row r="1" spans="1:2" x14ac:dyDescent="0.2">
      <c r="A1" s="6" t="s">
        <v>260</v>
      </c>
      <c r="B1" s="6" t="s">
        <v>262</v>
      </c>
    </row>
    <row r="2" spans="1:2" x14ac:dyDescent="0.2">
      <c r="A2">
        <v>137</v>
      </c>
      <c r="B2" t="s">
        <v>613</v>
      </c>
    </row>
    <row r="3" spans="1:2" x14ac:dyDescent="0.2">
      <c r="A3">
        <v>201</v>
      </c>
      <c r="B3" t="s">
        <v>876</v>
      </c>
    </row>
    <row r="4" spans="1:2" x14ac:dyDescent="0.2">
      <c r="A4">
        <v>202</v>
      </c>
      <c r="B4" t="s">
        <v>895</v>
      </c>
    </row>
    <row r="5" spans="1:2" x14ac:dyDescent="0.2">
      <c r="A5">
        <v>204</v>
      </c>
      <c r="B5" t="s">
        <v>47</v>
      </c>
    </row>
    <row r="6" spans="1:2" x14ac:dyDescent="0.2">
      <c r="A6">
        <v>205</v>
      </c>
      <c r="B6" t="s">
        <v>940</v>
      </c>
    </row>
    <row r="7" spans="1:2" x14ac:dyDescent="0.2">
      <c r="A7">
        <v>215</v>
      </c>
      <c r="B7" t="s">
        <v>964</v>
      </c>
    </row>
    <row r="8" spans="1:2" x14ac:dyDescent="0.2">
      <c r="A8">
        <v>221</v>
      </c>
      <c r="B8" t="s">
        <v>983</v>
      </c>
    </row>
    <row r="9" spans="1:2" x14ac:dyDescent="0.2">
      <c r="A9">
        <v>224</v>
      </c>
      <c r="B9" t="s">
        <v>1000</v>
      </c>
    </row>
    <row r="10" spans="1:2" x14ac:dyDescent="0.2">
      <c r="A10">
        <v>234</v>
      </c>
      <c r="B10" t="s">
        <v>71</v>
      </c>
    </row>
    <row r="11" spans="1:2" x14ac:dyDescent="0.2">
      <c r="A11">
        <v>236</v>
      </c>
      <c r="B11" t="s">
        <v>113</v>
      </c>
    </row>
    <row r="12" spans="1:2" x14ac:dyDescent="0.2">
      <c r="A12">
        <v>237</v>
      </c>
      <c r="B12" t="s">
        <v>18</v>
      </c>
    </row>
    <row r="13" spans="1:2" x14ac:dyDescent="0.2">
      <c r="A13">
        <v>246</v>
      </c>
      <c r="B13" t="s">
        <v>168</v>
      </c>
    </row>
    <row r="14" spans="1:2" x14ac:dyDescent="0.2">
      <c r="A14">
        <v>270</v>
      </c>
      <c r="B14" t="s">
        <v>192</v>
      </c>
    </row>
    <row r="15" spans="1:2" x14ac:dyDescent="0.2">
      <c r="A15">
        <v>271</v>
      </c>
      <c r="B15" t="s">
        <v>25</v>
      </c>
    </row>
    <row r="16" spans="1:2" x14ac:dyDescent="0.2">
      <c r="A16">
        <v>272</v>
      </c>
      <c r="B16" t="s">
        <v>235</v>
      </c>
    </row>
    <row r="17" spans="1:2" x14ac:dyDescent="0.2">
      <c r="A17">
        <v>293</v>
      </c>
      <c r="B17" t="s">
        <v>1018</v>
      </c>
    </row>
    <row r="18" spans="1:2" x14ac:dyDescent="0.2">
      <c r="A18">
        <v>299</v>
      </c>
      <c r="B18" t="s">
        <v>22</v>
      </c>
    </row>
    <row r="19" spans="1:2" x14ac:dyDescent="0.2">
      <c r="A19">
        <v>300</v>
      </c>
      <c r="B19" t="s">
        <v>21</v>
      </c>
    </row>
    <row r="20" spans="1:2" x14ac:dyDescent="0.2">
      <c r="A20">
        <v>301</v>
      </c>
      <c r="B20" t="s">
        <v>780</v>
      </c>
    </row>
    <row r="21" spans="1:2" x14ac:dyDescent="0.2">
      <c r="A21">
        <v>367</v>
      </c>
      <c r="B21" t="s">
        <v>1111</v>
      </c>
    </row>
    <row r="22" spans="1:2" x14ac:dyDescent="0.2">
      <c r="A22">
        <v>400</v>
      </c>
      <c r="B22" t="s">
        <v>57</v>
      </c>
    </row>
    <row r="23" spans="1:2" x14ac:dyDescent="0.2">
      <c r="A23">
        <v>410</v>
      </c>
      <c r="B23" t="s">
        <v>830</v>
      </c>
    </row>
    <row r="24" spans="1:2" x14ac:dyDescent="0.2">
      <c r="A24">
        <v>442</v>
      </c>
      <c r="B24" t="s">
        <v>1133</v>
      </c>
    </row>
    <row r="25" spans="1:2" x14ac:dyDescent="0.2">
      <c r="A25">
        <v>446</v>
      </c>
      <c r="B25" t="s">
        <v>56</v>
      </c>
    </row>
    <row r="26" spans="1:2" x14ac:dyDescent="0.2">
      <c r="A26">
        <v>455</v>
      </c>
      <c r="B26" t="s">
        <v>1092</v>
      </c>
    </row>
    <row r="27" spans="1:2" x14ac:dyDescent="0.2">
      <c r="A27">
        <v>563</v>
      </c>
      <c r="B27" t="s">
        <v>566</v>
      </c>
    </row>
    <row r="28" spans="1:2" x14ac:dyDescent="0.2">
      <c r="A28">
        <v>571</v>
      </c>
      <c r="B28" t="s">
        <v>61</v>
      </c>
    </row>
    <row r="29" spans="1:2" x14ac:dyDescent="0.2">
      <c r="A29">
        <v>588</v>
      </c>
      <c r="B29" t="s">
        <v>589</v>
      </c>
    </row>
    <row r="30" spans="1:2" x14ac:dyDescent="0.2">
      <c r="A30">
        <v>805</v>
      </c>
      <c r="B30" t="s">
        <v>42</v>
      </c>
    </row>
    <row r="31" spans="1:2" x14ac:dyDescent="0.2">
      <c r="A31">
        <v>806</v>
      </c>
      <c r="B31" t="s">
        <v>659</v>
      </c>
    </row>
    <row r="32" spans="1:2" x14ac:dyDescent="0.2">
      <c r="A32">
        <v>807</v>
      </c>
      <c r="B32" t="s">
        <v>43</v>
      </c>
    </row>
    <row r="33" spans="1:2" x14ac:dyDescent="0.2">
      <c r="A33">
        <v>808</v>
      </c>
      <c r="B33" t="s">
        <v>40</v>
      </c>
    </row>
    <row r="34" spans="1:2" x14ac:dyDescent="0.2">
      <c r="A34">
        <v>809</v>
      </c>
      <c r="B34" t="s">
        <v>712</v>
      </c>
    </row>
    <row r="35" spans="1:2" x14ac:dyDescent="0.2">
      <c r="A35">
        <v>810</v>
      </c>
      <c r="B35" t="s">
        <v>728</v>
      </c>
    </row>
    <row r="36" spans="1:2" x14ac:dyDescent="0.2">
      <c r="A36">
        <v>811</v>
      </c>
      <c r="B36" t="s">
        <v>41</v>
      </c>
    </row>
    <row r="37" spans="1:2" x14ac:dyDescent="0.2">
      <c r="A37">
        <v>812</v>
      </c>
      <c r="B37" t="s">
        <v>753</v>
      </c>
    </row>
    <row r="38" spans="1:2" x14ac:dyDescent="0.2">
      <c r="A38">
        <v>813</v>
      </c>
      <c r="B38" t="s">
        <v>28</v>
      </c>
    </row>
    <row r="39" spans="1:2" x14ac:dyDescent="0.2">
      <c r="A39">
        <v>818</v>
      </c>
      <c r="B39" t="s">
        <v>764</v>
      </c>
    </row>
    <row r="40" spans="1:2" x14ac:dyDescent="0.2">
      <c r="A40">
        <v>819</v>
      </c>
      <c r="B40" t="s">
        <v>27</v>
      </c>
    </row>
    <row r="41" spans="1:2" x14ac:dyDescent="0.2">
      <c r="A41">
        <v>841</v>
      </c>
      <c r="B41" t="s">
        <v>29</v>
      </c>
    </row>
    <row r="42" spans="1:2" x14ac:dyDescent="0.2">
      <c r="A42">
        <v>853</v>
      </c>
      <c r="B42" t="s">
        <v>30</v>
      </c>
    </row>
    <row r="43" spans="1:2" x14ac:dyDescent="0.2">
      <c r="A43">
        <v>854</v>
      </c>
      <c r="B43" t="s">
        <v>1039</v>
      </c>
    </row>
    <row r="44" spans="1:2" x14ac:dyDescent="0.2">
      <c r="A44">
        <v>893</v>
      </c>
      <c r="B44" t="s">
        <v>480</v>
      </c>
    </row>
    <row r="45" spans="1:2" x14ac:dyDescent="0.2">
      <c r="A45">
        <v>895</v>
      </c>
      <c r="B45" t="s">
        <v>504</v>
      </c>
    </row>
    <row r="46" spans="1:2" x14ac:dyDescent="0.2">
      <c r="A46">
        <v>896</v>
      </c>
      <c r="B46" t="s">
        <v>524</v>
      </c>
    </row>
    <row r="47" spans="1:2" x14ac:dyDescent="0.2">
      <c r="A47">
        <v>901</v>
      </c>
      <c r="B47" t="s">
        <v>545</v>
      </c>
    </row>
    <row r="48" spans="1:2" x14ac:dyDescent="0.2">
      <c r="A48">
        <v>951</v>
      </c>
      <c r="B48" t="s">
        <v>1055</v>
      </c>
    </row>
    <row r="49" spans="1:2" x14ac:dyDescent="0.2">
      <c r="A49" t="s">
        <v>1158</v>
      </c>
      <c r="B49" t="s">
        <v>34</v>
      </c>
    </row>
    <row r="50" spans="1:2" x14ac:dyDescent="0.2">
      <c r="A50" s="3" t="s">
        <v>1158</v>
      </c>
      <c r="B50" t="s">
        <v>35</v>
      </c>
    </row>
    <row r="51" spans="1:2" x14ac:dyDescent="0.2">
      <c r="A51" t="s">
        <v>1158</v>
      </c>
      <c r="B51" t="s">
        <v>45</v>
      </c>
    </row>
    <row r="52" spans="1:2" x14ac:dyDescent="0.2">
      <c r="A52" t="s">
        <v>1158</v>
      </c>
      <c r="B52" t="s">
        <v>52</v>
      </c>
    </row>
    <row r="53" spans="1:2" x14ac:dyDescent="0.2">
      <c r="A53" t="s">
        <v>1158</v>
      </c>
      <c r="B53" t="s">
        <v>53</v>
      </c>
    </row>
    <row r="57" spans="1:2" x14ac:dyDescent="0.2">
      <c r="B57" t="s">
        <v>1162</v>
      </c>
    </row>
  </sheetData>
  <sortState xmlns:xlrd2="http://schemas.microsoft.com/office/spreadsheetml/2017/richdata2" ref="A2:B57">
    <sortCondition ref="A1:A57"/>
  </sortState>
  <conditionalFormatting sqref="A1">
    <cfRule type="duplicateValues" dxfId="5"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94079-DFA6-274B-86DD-243BBCADC8E3}">
  <dimension ref="A1:M53"/>
  <sheetViews>
    <sheetView zoomScale="75" zoomScaleNormal="88" workbookViewId="0">
      <pane xSplit="1" topLeftCell="C1" activePane="topRight" state="frozen"/>
      <selection pane="topRight"/>
    </sheetView>
  </sheetViews>
  <sheetFormatPr baseColWidth="10" defaultRowHeight="16" x14ac:dyDescent="0.2"/>
  <cols>
    <col min="1" max="1" width="27.5" customWidth="1"/>
    <col min="2" max="2" width="22.6640625" hidden="1" customWidth="1"/>
    <col min="3" max="3" width="22.1640625" customWidth="1"/>
    <col min="4" max="4" width="50.6640625" customWidth="1"/>
    <col min="5" max="5" width="53.33203125" customWidth="1"/>
    <col min="6" max="6" width="32.83203125" customWidth="1"/>
    <col min="7" max="8" width="28.1640625" customWidth="1"/>
    <col min="9" max="9" width="35.83203125" customWidth="1"/>
    <col min="10" max="10" width="15.6640625" customWidth="1"/>
  </cols>
  <sheetData>
    <row r="1" spans="1:13" s="1" customFormat="1" x14ac:dyDescent="0.2">
      <c r="A1" s="1" t="s">
        <v>0</v>
      </c>
      <c r="B1" s="1" t="s">
        <v>1</v>
      </c>
      <c r="C1" s="1" t="s">
        <v>2</v>
      </c>
      <c r="D1" s="1" t="s">
        <v>16</v>
      </c>
      <c r="E1" s="1" t="s">
        <v>1154</v>
      </c>
      <c r="F1" s="1" t="s">
        <v>1155</v>
      </c>
      <c r="G1" s="1" t="s">
        <v>1159</v>
      </c>
      <c r="H1" s="1" t="s">
        <v>1156</v>
      </c>
      <c r="I1" s="1" t="s">
        <v>1157</v>
      </c>
      <c r="J1" s="1" t="s">
        <v>1159</v>
      </c>
      <c r="K1" s="1" t="s">
        <v>1160</v>
      </c>
    </row>
    <row r="2" spans="1:13" x14ac:dyDescent="0.2">
      <c r="A2">
        <v>875</v>
      </c>
      <c r="B2">
        <v>234</v>
      </c>
      <c r="C2" s="9" t="s">
        <v>3</v>
      </c>
      <c r="D2" t="s">
        <v>17</v>
      </c>
      <c r="E2">
        <v>53.11</v>
      </c>
      <c r="F2">
        <v>97.44</v>
      </c>
      <c r="G2">
        <f t="shared" ref="G2:G51" si="0">E2-F2</f>
        <v>-44.33</v>
      </c>
      <c r="H2">
        <v>743.49</v>
      </c>
      <c r="I2">
        <v>1364.12</v>
      </c>
      <c r="J2">
        <f t="shared" ref="J2:J51" si="1">H2-I2</f>
        <v>-620.62999999999988</v>
      </c>
      <c r="K2" t="s">
        <v>92</v>
      </c>
    </row>
    <row r="3" spans="1:13" x14ac:dyDescent="0.2">
      <c r="A3">
        <v>963</v>
      </c>
      <c r="B3">
        <v>237</v>
      </c>
      <c r="C3" s="9" t="s">
        <v>3</v>
      </c>
      <c r="D3" t="s">
        <v>18</v>
      </c>
      <c r="E3">
        <v>210.65</v>
      </c>
      <c r="F3">
        <v>210.08</v>
      </c>
      <c r="G3">
        <f t="shared" si="0"/>
        <v>0.56999999999999318</v>
      </c>
      <c r="H3">
        <v>2527.83</v>
      </c>
      <c r="I3">
        <v>2520.94</v>
      </c>
      <c r="J3">
        <f t="shared" si="1"/>
        <v>6.8899999999998727</v>
      </c>
      <c r="K3" t="s">
        <v>92</v>
      </c>
    </row>
    <row r="4" spans="1:13" x14ac:dyDescent="0.2">
      <c r="A4" s="20">
        <v>977</v>
      </c>
      <c r="C4" s="9" t="s">
        <v>3</v>
      </c>
      <c r="D4" t="s">
        <v>19</v>
      </c>
      <c r="E4">
        <v>242.02</v>
      </c>
      <c r="F4">
        <v>1874.99</v>
      </c>
      <c r="G4" s="8">
        <v>-1632.97</v>
      </c>
      <c r="H4">
        <v>3388.14</v>
      </c>
      <c r="I4">
        <v>26249.8</v>
      </c>
      <c r="J4" s="8">
        <v>-22861.66</v>
      </c>
    </row>
    <row r="5" spans="1:13" x14ac:dyDescent="0.2">
      <c r="A5" s="20">
        <v>981</v>
      </c>
      <c r="C5" s="9" t="s">
        <v>3</v>
      </c>
      <c r="D5" t="s">
        <v>20</v>
      </c>
      <c r="E5">
        <v>516.34</v>
      </c>
      <c r="F5">
        <v>2289.87</v>
      </c>
      <c r="G5" s="8">
        <v>-1773.53</v>
      </c>
      <c r="H5">
        <v>7228.71</v>
      </c>
      <c r="I5">
        <v>32058.16</v>
      </c>
      <c r="J5" s="8">
        <v>-24829.45</v>
      </c>
      <c r="M5" s="8"/>
    </row>
    <row r="6" spans="1:13" x14ac:dyDescent="0.2">
      <c r="A6">
        <v>1112</v>
      </c>
      <c r="B6">
        <v>271</v>
      </c>
      <c r="C6" s="9" t="s">
        <v>3</v>
      </c>
      <c r="D6" t="s">
        <v>21</v>
      </c>
      <c r="E6">
        <v>50.28</v>
      </c>
      <c r="F6">
        <v>42.24</v>
      </c>
      <c r="G6">
        <f t="shared" si="0"/>
        <v>8.0399999999999991</v>
      </c>
      <c r="H6">
        <v>603.36</v>
      </c>
      <c r="I6">
        <v>506.92</v>
      </c>
      <c r="J6">
        <f t="shared" si="1"/>
        <v>96.44</v>
      </c>
      <c r="K6" t="s">
        <v>92</v>
      </c>
    </row>
    <row r="7" spans="1:13" x14ac:dyDescent="0.2">
      <c r="A7">
        <v>1113</v>
      </c>
      <c r="B7">
        <v>272</v>
      </c>
      <c r="C7" s="9" t="s">
        <v>3</v>
      </c>
      <c r="D7" t="s">
        <v>22</v>
      </c>
      <c r="E7">
        <v>76.94</v>
      </c>
      <c r="F7">
        <v>102.87</v>
      </c>
      <c r="G7" s="8">
        <f t="shared" si="0"/>
        <v>-25.930000000000007</v>
      </c>
      <c r="H7">
        <v>923.22</v>
      </c>
      <c r="I7">
        <v>1234.42</v>
      </c>
      <c r="J7" s="8">
        <f t="shared" si="1"/>
        <v>-311.20000000000005</v>
      </c>
      <c r="K7" t="s">
        <v>104</v>
      </c>
    </row>
    <row r="8" spans="1:13" x14ac:dyDescent="0.2">
      <c r="A8">
        <v>1115</v>
      </c>
      <c r="B8">
        <v>819</v>
      </c>
      <c r="C8" s="9" t="s">
        <v>3</v>
      </c>
      <c r="D8" t="s">
        <v>23</v>
      </c>
      <c r="E8">
        <v>176.21</v>
      </c>
      <c r="F8">
        <v>85.87</v>
      </c>
      <c r="G8" s="8">
        <f t="shared" si="0"/>
        <v>90.34</v>
      </c>
      <c r="H8">
        <v>2114.46</v>
      </c>
      <c r="I8">
        <v>1030.3800000000001</v>
      </c>
      <c r="J8" s="8">
        <f t="shared" si="1"/>
        <v>1084.08</v>
      </c>
      <c r="K8" t="s">
        <v>104</v>
      </c>
    </row>
    <row r="9" spans="1:13" x14ac:dyDescent="0.2">
      <c r="A9">
        <v>1118</v>
      </c>
      <c r="B9">
        <v>813</v>
      </c>
      <c r="C9" s="9" t="s">
        <v>3</v>
      </c>
      <c r="D9" t="s">
        <v>24</v>
      </c>
      <c r="E9">
        <v>381.13</v>
      </c>
      <c r="F9">
        <v>56.29</v>
      </c>
      <c r="G9" s="8">
        <f t="shared" si="0"/>
        <v>324.83999999999997</v>
      </c>
      <c r="H9">
        <v>5335.83</v>
      </c>
      <c r="I9">
        <v>788.12</v>
      </c>
      <c r="J9" s="8">
        <f t="shared" si="1"/>
        <v>4547.71</v>
      </c>
      <c r="K9" t="s">
        <v>104</v>
      </c>
    </row>
    <row r="10" spans="1:13" x14ac:dyDescent="0.2">
      <c r="A10">
        <v>1329</v>
      </c>
      <c r="B10">
        <v>841</v>
      </c>
      <c r="C10" s="9" t="s">
        <v>3</v>
      </c>
      <c r="D10" t="s">
        <v>25</v>
      </c>
      <c r="E10">
        <v>137.07</v>
      </c>
      <c r="F10">
        <v>667.55</v>
      </c>
      <c r="G10" s="8">
        <f t="shared" si="0"/>
        <v>-530.48</v>
      </c>
      <c r="H10">
        <v>1507.77</v>
      </c>
      <c r="I10">
        <v>7343.09</v>
      </c>
      <c r="J10" s="8">
        <f t="shared" si="1"/>
        <v>-5835.32</v>
      </c>
      <c r="K10" t="s">
        <v>104</v>
      </c>
      <c r="M10" s="10" t="s">
        <v>1161</v>
      </c>
    </row>
    <row r="11" spans="1:13" x14ac:dyDescent="0.2">
      <c r="A11">
        <v>1503</v>
      </c>
      <c r="B11">
        <v>853</v>
      </c>
      <c r="C11" s="9" t="s">
        <v>3</v>
      </c>
      <c r="D11" t="s">
        <v>26</v>
      </c>
      <c r="E11">
        <v>1223.8900000000001</v>
      </c>
      <c r="F11">
        <v>639.88</v>
      </c>
      <c r="G11">
        <f t="shared" si="0"/>
        <v>584.0100000000001</v>
      </c>
      <c r="H11">
        <v>13462.74</v>
      </c>
      <c r="I11">
        <v>7038.73</v>
      </c>
      <c r="J11">
        <f t="shared" si="1"/>
        <v>6424.01</v>
      </c>
      <c r="K11" t="s">
        <v>92</v>
      </c>
    </row>
    <row r="12" spans="1:13" x14ac:dyDescent="0.2">
      <c r="A12">
        <v>1571</v>
      </c>
      <c r="B12">
        <v>893</v>
      </c>
      <c r="C12" s="9" t="s">
        <v>3</v>
      </c>
      <c r="D12" t="s">
        <v>27</v>
      </c>
      <c r="E12">
        <v>84.52</v>
      </c>
      <c r="F12">
        <v>360.15</v>
      </c>
      <c r="G12">
        <f t="shared" si="0"/>
        <v>-275.63</v>
      </c>
      <c r="H12">
        <v>845.19</v>
      </c>
      <c r="I12">
        <v>3601.46</v>
      </c>
      <c r="J12">
        <f t="shared" si="1"/>
        <v>-2756.27</v>
      </c>
      <c r="K12" t="s">
        <v>92</v>
      </c>
    </row>
    <row r="13" spans="1:13" x14ac:dyDescent="0.2">
      <c r="A13">
        <v>1654</v>
      </c>
      <c r="B13">
        <v>896</v>
      </c>
      <c r="C13" s="9" t="s">
        <v>3</v>
      </c>
      <c r="D13" t="s">
        <v>28</v>
      </c>
      <c r="E13">
        <v>20.89</v>
      </c>
      <c r="F13">
        <v>453.95</v>
      </c>
      <c r="G13">
        <f t="shared" si="0"/>
        <v>-433.06</v>
      </c>
      <c r="H13">
        <v>208.89</v>
      </c>
      <c r="I13">
        <v>4539.49</v>
      </c>
      <c r="J13">
        <f t="shared" si="1"/>
        <v>-4330.5999999999995</v>
      </c>
      <c r="K13" t="s">
        <v>92</v>
      </c>
    </row>
    <row r="14" spans="1:13" x14ac:dyDescent="0.2">
      <c r="A14">
        <v>1686</v>
      </c>
      <c r="B14">
        <v>895</v>
      </c>
      <c r="C14" s="9" t="s">
        <v>3</v>
      </c>
      <c r="D14" t="s">
        <v>29</v>
      </c>
      <c r="E14">
        <v>167.37</v>
      </c>
      <c r="F14">
        <v>25.34</v>
      </c>
      <c r="G14">
        <f t="shared" si="0"/>
        <v>142.03</v>
      </c>
      <c r="H14">
        <v>1506.33</v>
      </c>
      <c r="I14">
        <v>228.09</v>
      </c>
      <c r="J14">
        <f t="shared" si="1"/>
        <v>1278.24</v>
      </c>
      <c r="K14" t="s">
        <v>92</v>
      </c>
      <c r="M14" s="2" t="s">
        <v>69</v>
      </c>
    </row>
    <row r="15" spans="1:13" x14ac:dyDescent="0.2">
      <c r="A15">
        <v>2252</v>
      </c>
      <c r="C15" s="9" t="s">
        <v>3</v>
      </c>
      <c r="D15" t="s">
        <v>30</v>
      </c>
      <c r="E15">
        <v>223.64</v>
      </c>
      <c r="F15">
        <v>661.32</v>
      </c>
      <c r="G15">
        <f t="shared" si="0"/>
        <v>-437.68000000000006</v>
      </c>
      <c r="H15">
        <v>1565.46</v>
      </c>
      <c r="I15">
        <v>4629.21</v>
      </c>
      <c r="J15">
        <f t="shared" si="1"/>
        <v>-3063.75</v>
      </c>
      <c r="K15" t="s">
        <v>92</v>
      </c>
    </row>
    <row r="16" spans="1:13" x14ac:dyDescent="0.2">
      <c r="A16" s="20">
        <v>2373</v>
      </c>
      <c r="C16" s="9" t="s">
        <v>3</v>
      </c>
      <c r="D16" t="s">
        <v>31</v>
      </c>
      <c r="E16">
        <v>27.51</v>
      </c>
      <c r="F16">
        <v>13.48</v>
      </c>
      <c r="G16">
        <v>14.03</v>
      </c>
      <c r="H16">
        <v>82.53</v>
      </c>
      <c r="I16">
        <v>40.46</v>
      </c>
      <c r="J16">
        <v>42.07</v>
      </c>
    </row>
    <row r="17" spans="1:11" x14ac:dyDescent="0.2">
      <c r="A17" s="20">
        <v>2508</v>
      </c>
      <c r="C17" s="9" t="s">
        <v>3</v>
      </c>
      <c r="D17" t="s">
        <v>32</v>
      </c>
      <c r="E17">
        <v>211.58</v>
      </c>
      <c r="F17">
        <v>625.23</v>
      </c>
      <c r="G17">
        <v>-413.65</v>
      </c>
      <c r="H17">
        <v>1057.8599999999999</v>
      </c>
      <c r="I17">
        <v>3126.12</v>
      </c>
      <c r="J17">
        <v>-2068.2600000000002</v>
      </c>
    </row>
    <row r="18" spans="1:11" x14ac:dyDescent="0.2">
      <c r="A18">
        <v>2539</v>
      </c>
      <c r="B18">
        <v>808</v>
      </c>
      <c r="C18" s="9" t="s">
        <v>3</v>
      </c>
      <c r="D18" t="s">
        <v>33</v>
      </c>
      <c r="E18">
        <v>10.62</v>
      </c>
      <c r="F18">
        <v>29.15</v>
      </c>
      <c r="G18" s="8">
        <f t="shared" si="0"/>
        <v>-18.53</v>
      </c>
      <c r="H18">
        <v>31.86</v>
      </c>
      <c r="I18">
        <v>87.44</v>
      </c>
      <c r="J18" s="8">
        <f t="shared" si="1"/>
        <v>-55.58</v>
      </c>
      <c r="K18" t="s">
        <v>104</v>
      </c>
    </row>
    <row r="19" spans="1:11" x14ac:dyDescent="0.2">
      <c r="A19" s="19">
        <v>2558</v>
      </c>
      <c r="B19">
        <v>811</v>
      </c>
      <c r="C19" s="9" t="s">
        <v>3</v>
      </c>
      <c r="D19" t="s">
        <v>34</v>
      </c>
      <c r="E19">
        <v>144.86000000000001</v>
      </c>
      <c r="F19">
        <v>770.17</v>
      </c>
      <c r="G19" s="8">
        <f t="shared" si="0"/>
        <v>-625.30999999999995</v>
      </c>
      <c r="H19">
        <v>869.13</v>
      </c>
      <c r="I19">
        <v>4621.0200000000004</v>
      </c>
      <c r="J19" s="8">
        <f t="shared" si="1"/>
        <v>-3751.8900000000003</v>
      </c>
      <c r="K19" t="s">
        <v>104</v>
      </c>
    </row>
    <row r="20" spans="1:11" x14ac:dyDescent="0.2">
      <c r="A20" s="20">
        <v>2566</v>
      </c>
      <c r="C20" s="9" t="s">
        <v>3</v>
      </c>
      <c r="D20" t="s">
        <v>35</v>
      </c>
      <c r="E20">
        <v>3544.13</v>
      </c>
      <c r="F20">
        <v>1119.6500000000001</v>
      </c>
      <c r="G20">
        <v>2424.48</v>
      </c>
      <c r="H20">
        <v>24682.86</v>
      </c>
      <c r="I20">
        <v>7837.55</v>
      </c>
      <c r="J20">
        <v>16845.310000000001</v>
      </c>
    </row>
    <row r="21" spans="1:11" x14ac:dyDescent="0.2">
      <c r="A21">
        <v>856</v>
      </c>
      <c r="B21">
        <v>818</v>
      </c>
      <c r="C21" s="9" t="s">
        <v>4</v>
      </c>
      <c r="D21" t="s">
        <v>36</v>
      </c>
      <c r="E21">
        <v>26.38</v>
      </c>
      <c r="F21">
        <v>45.28</v>
      </c>
      <c r="G21">
        <f t="shared" si="0"/>
        <v>-18.900000000000002</v>
      </c>
      <c r="H21">
        <v>342.9</v>
      </c>
      <c r="I21">
        <v>588.58000000000004</v>
      </c>
      <c r="J21">
        <f t="shared" si="1"/>
        <v>-245.68000000000006</v>
      </c>
      <c r="K21" t="s">
        <v>92</v>
      </c>
    </row>
    <row r="22" spans="1:11" x14ac:dyDescent="0.2">
      <c r="A22" s="20">
        <v>1389</v>
      </c>
      <c r="C22" s="9" t="s">
        <v>4</v>
      </c>
      <c r="D22" t="s">
        <v>37</v>
      </c>
      <c r="E22">
        <v>44.67</v>
      </c>
      <c r="F22">
        <v>16.21</v>
      </c>
      <c r="G22">
        <v>28.46</v>
      </c>
      <c r="H22">
        <v>446.67</v>
      </c>
      <c r="I22">
        <v>162.13</v>
      </c>
      <c r="J22">
        <v>284.54000000000002</v>
      </c>
    </row>
    <row r="23" spans="1:11" x14ac:dyDescent="0.2">
      <c r="A23">
        <v>1390</v>
      </c>
      <c r="B23">
        <v>204</v>
      </c>
      <c r="C23" s="9" t="s">
        <v>4</v>
      </c>
      <c r="D23" t="s">
        <v>38</v>
      </c>
      <c r="E23">
        <v>259.68</v>
      </c>
      <c r="F23">
        <v>64.8</v>
      </c>
      <c r="G23">
        <f t="shared" si="0"/>
        <v>194.88</v>
      </c>
      <c r="H23">
        <v>2337.12</v>
      </c>
      <c r="I23">
        <v>583.17999999999995</v>
      </c>
      <c r="J23">
        <f t="shared" si="1"/>
        <v>1753.94</v>
      </c>
      <c r="K23" t="s">
        <v>92</v>
      </c>
    </row>
    <row r="24" spans="1:11" x14ac:dyDescent="0.2">
      <c r="A24">
        <v>1391</v>
      </c>
      <c r="B24">
        <v>202</v>
      </c>
      <c r="C24" s="9" t="s">
        <v>4</v>
      </c>
      <c r="D24" t="s">
        <v>39</v>
      </c>
      <c r="E24">
        <v>19.53</v>
      </c>
      <c r="F24">
        <v>6.19</v>
      </c>
      <c r="G24">
        <f t="shared" si="0"/>
        <v>13.34</v>
      </c>
      <c r="H24">
        <v>195.3</v>
      </c>
      <c r="I24">
        <v>61.92</v>
      </c>
      <c r="J24">
        <f t="shared" si="1"/>
        <v>133.38</v>
      </c>
      <c r="K24" t="s">
        <v>92</v>
      </c>
    </row>
    <row r="25" spans="1:11" x14ac:dyDescent="0.2">
      <c r="A25">
        <v>1392</v>
      </c>
      <c r="B25">
        <v>215</v>
      </c>
      <c r="C25" s="9" t="s">
        <v>4</v>
      </c>
      <c r="D25" t="s">
        <v>40</v>
      </c>
      <c r="E25">
        <v>3.53</v>
      </c>
      <c r="F25">
        <v>2.83</v>
      </c>
      <c r="G25">
        <f t="shared" si="0"/>
        <v>0.69999999999999973</v>
      </c>
      <c r="H25">
        <v>35.28</v>
      </c>
      <c r="I25">
        <v>28.27</v>
      </c>
      <c r="J25">
        <f t="shared" si="1"/>
        <v>7.0100000000000016</v>
      </c>
      <c r="K25" t="s">
        <v>92</v>
      </c>
    </row>
    <row r="26" spans="1:11" x14ac:dyDescent="0.2">
      <c r="A26">
        <v>1395</v>
      </c>
      <c r="B26">
        <v>201</v>
      </c>
      <c r="C26" s="9" t="s">
        <v>4</v>
      </c>
      <c r="D26" t="s">
        <v>41</v>
      </c>
      <c r="E26">
        <v>33.090000000000003</v>
      </c>
      <c r="F26">
        <v>60.32</v>
      </c>
      <c r="G26" s="8">
        <f t="shared" si="0"/>
        <v>-27.229999999999997</v>
      </c>
      <c r="H26">
        <v>330.93</v>
      </c>
      <c r="I26">
        <v>603.21</v>
      </c>
      <c r="J26" s="8">
        <f t="shared" si="1"/>
        <v>-272.28000000000003</v>
      </c>
      <c r="K26" t="s">
        <v>104</v>
      </c>
    </row>
    <row r="27" spans="1:11" x14ac:dyDescent="0.2">
      <c r="A27">
        <v>1396</v>
      </c>
      <c r="B27">
        <v>221</v>
      </c>
      <c r="C27" s="9" t="s">
        <v>4</v>
      </c>
      <c r="D27" t="s">
        <v>42</v>
      </c>
      <c r="E27">
        <v>16.54</v>
      </c>
      <c r="F27">
        <v>26.71</v>
      </c>
      <c r="G27" s="8">
        <f t="shared" si="0"/>
        <v>-10.170000000000002</v>
      </c>
      <c r="H27">
        <v>148.86000000000001</v>
      </c>
      <c r="I27">
        <v>240.35</v>
      </c>
      <c r="J27" s="8">
        <f t="shared" si="1"/>
        <v>-91.489999999999981</v>
      </c>
      <c r="K27" t="s">
        <v>104</v>
      </c>
    </row>
    <row r="28" spans="1:11" x14ac:dyDescent="0.2">
      <c r="A28">
        <v>1399</v>
      </c>
      <c r="B28">
        <v>293</v>
      </c>
      <c r="C28" s="9" t="s">
        <v>4</v>
      </c>
      <c r="D28" t="s">
        <v>43</v>
      </c>
      <c r="E28">
        <v>13.57</v>
      </c>
      <c r="F28">
        <v>13.28</v>
      </c>
      <c r="G28">
        <f t="shared" si="0"/>
        <v>0.29000000000000092</v>
      </c>
      <c r="H28">
        <v>135.72</v>
      </c>
      <c r="I28">
        <v>132.75</v>
      </c>
      <c r="J28">
        <f t="shared" si="1"/>
        <v>2.9699999999999989</v>
      </c>
      <c r="K28" t="s">
        <v>92</v>
      </c>
    </row>
    <row r="29" spans="1:11" x14ac:dyDescent="0.2">
      <c r="A29">
        <v>1400</v>
      </c>
      <c r="B29">
        <v>951</v>
      </c>
      <c r="C29" s="9" t="s">
        <v>4</v>
      </c>
      <c r="D29" t="s">
        <v>44</v>
      </c>
      <c r="E29">
        <v>8.2100000000000009</v>
      </c>
      <c r="F29">
        <v>2.73</v>
      </c>
      <c r="G29" s="8">
        <f t="shared" si="0"/>
        <v>5.48</v>
      </c>
      <c r="H29">
        <v>82.08</v>
      </c>
      <c r="I29">
        <v>27.3</v>
      </c>
      <c r="J29" s="8">
        <f t="shared" si="1"/>
        <v>54.78</v>
      </c>
      <c r="K29" t="s">
        <v>104</v>
      </c>
    </row>
    <row r="30" spans="1:11" x14ac:dyDescent="0.2">
      <c r="A30">
        <v>1566</v>
      </c>
      <c r="B30">
        <v>224</v>
      </c>
      <c r="C30" s="9" t="s">
        <v>4</v>
      </c>
      <c r="D30" t="s">
        <v>68</v>
      </c>
      <c r="E30">
        <v>974.75</v>
      </c>
      <c r="F30">
        <v>772.28</v>
      </c>
      <c r="G30" s="8">
        <f t="shared" si="0"/>
        <v>202.47000000000003</v>
      </c>
      <c r="H30">
        <v>9747.4500000000007</v>
      </c>
      <c r="I30">
        <v>7722.79</v>
      </c>
      <c r="J30" s="8">
        <f t="shared" si="1"/>
        <v>2024.6600000000008</v>
      </c>
      <c r="K30" t="s">
        <v>104</v>
      </c>
    </row>
    <row r="31" spans="1:11" x14ac:dyDescent="0.2">
      <c r="A31">
        <v>2723</v>
      </c>
      <c r="B31">
        <v>854</v>
      </c>
      <c r="C31" s="9" t="s">
        <v>4</v>
      </c>
      <c r="D31" t="s">
        <v>45</v>
      </c>
      <c r="E31">
        <v>42.39</v>
      </c>
      <c r="F31">
        <v>39.75</v>
      </c>
      <c r="G31">
        <f t="shared" si="0"/>
        <v>2.6400000000000006</v>
      </c>
      <c r="H31">
        <v>169.56</v>
      </c>
      <c r="I31">
        <v>159</v>
      </c>
      <c r="J31">
        <f t="shared" si="1"/>
        <v>10.560000000000002</v>
      </c>
      <c r="K31" t="s">
        <v>92</v>
      </c>
    </row>
    <row r="32" spans="1:11" x14ac:dyDescent="0.2">
      <c r="A32">
        <v>844</v>
      </c>
      <c r="C32" s="9" t="s">
        <v>5</v>
      </c>
      <c r="D32" t="s">
        <v>46</v>
      </c>
      <c r="E32">
        <v>54.03</v>
      </c>
      <c r="F32">
        <v>24.84</v>
      </c>
      <c r="G32" s="8">
        <f t="shared" si="0"/>
        <v>29.19</v>
      </c>
      <c r="H32">
        <v>756.45</v>
      </c>
      <c r="I32">
        <v>347.7</v>
      </c>
      <c r="J32" s="8">
        <f t="shared" si="1"/>
        <v>408.75000000000006</v>
      </c>
      <c r="K32" t="s">
        <v>104</v>
      </c>
    </row>
    <row r="33" spans="1:11" x14ac:dyDescent="0.2">
      <c r="A33">
        <v>944</v>
      </c>
      <c r="C33" s="9" t="s">
        <v>5</v>
      </c>
      <c r="D33" t="s">
        <v>47</v>
      </c>
      <c r="E33">
        <v>271.42</v>
      </c>
      <c r="F33">
        <v>737.57</v>
      </c>
      <c r="G33">
        <f t="shared" si="0"/>
        <v>-466.15000000000003</v>
      </c>
      <c r="H33">
        <v>4071.33</v>
      </c>
      <c r="I33">
        <v>11063.54</v>
      </c>
      <c r="J33">
        <f t="shared" si="1"/>
        <v>-6992.2100000000009</v>
      </c>
      <c r="K33" t="s">
        <v>104</v>
      </c>
    </row>
    <row r="34" spans="1:11" x14ac:dyDescent="0.2">
      <c r="A34">
        <v>958</v>
      </c>
      <c r="B34">
        <v>301</v>
      </c>
      <c r="C34" s="9" t="s">
        <v>5</v>
      </c>
      <c r="D34" t="s">
        <v>48</v>
      </c>
      <c r="E34">
        <v>259.16000000000003</v>
      </c>
      <c r="F34">
        <v>531.4</v>
      </c>
      <c r="G34">
        <f t="shared" si="0"/>
        <v>-272.23999999999995</v>
      </c>
      <c r="H34">
        <v>3369.06</v>
      </c>
      <c r="I34">
        <v>6908.15</v>
      </c>
      <c r="J34">
        <f t="shared" si="1"/>
        <v>-3539.0899999999997</v>
      </c>
      <c r="K34" t="s">
        <v>92</v>
      </c>
    </row>
    <row r="35" spans="1:11" x14ac:dyDescent="0.2">
      <c r="A35">
        <v>985</v>
      </c>
      <c r="B35">
        <v>410</v>
      </c>
      <c r="C35" s="9" t="s">
        <v>5</v>
      </c>
      <c r="D35" t="s">
        <v>49</v>
      </c>
      <c r="E35">
        <v>478.46</v>
      </c>
      <c r="F35">
        <v>650.58000000000004</v>
      </c>
      <c r="G35" s="8">
        <f t="shared" si="0"/>
        <v>-172.12000000000006</v>
      </c>
      <c r="H35">
        <v>7176.96</v>
      </c>
      <c r="I35">
        <v>9758.73</v>
      </c>
      <c r="J35" s="8">
        <f t="shared" si="1"/>
        <v>-2581.7699999999995</v>
      </c>
      <c r="K35" t="s">
        <v>104</v>
      </c>
    </row>
    <row r="36" spans="1:11" x14ac:dyDescent="0.2">
      <c r="A36">
        <v>1067</v>
      </c>
      <c r="B36">
        <v>446</v>
      </c>
      <c r="C36" s="9" t="s">
        <v>5</v>
      </c>
      <c r="D36" t="s">
        <v>67</v>
      </c>
      <c r="E36">
        <v>261.42</v>
      </c>
      <c r="F36">
        <v>384.13</v>
      </c>
      <c r="G36">
        <f t="shared" si="0"/>
        <v>-122.70999999999998</v>
      </c>
      <c r="H36">
        <v>3398.49</v>
      </c>
      <c r="I36">
        <v>4993.68</v>
      </c>
      <c r="J36">
        <f t="shared" si="1"/>
        <v>-1595.1900000000005</v>
      </c>
      <c r="K36" t="s">
        <v>92</v>
      </c>
    </row>
    <row r="37" spans="1:11" x14ac:dyDescent="0.2">
      <c r="A37">
        <v>1218</v>
      </c>
      <c r="B37">
        <v>400</v>
      </c>
      <c r="C37" s="9" t="s">
        <v>5</v>
      </c>
      <c r="D37" t="s">
        <v>66</v>
      </c>
      <c r="E37">
        <v>15.06</v>
      </c>
      <c r="F37">
        <v>64.33</v>
      </c>
      <c r="G37">
        <f t="shared" si="0"/>
        <v>-49.269999999999996</v>
      </c>
      <c r="H37">
        <v>180.72</v>
      </c>
      <c r="I37">
        <v>771.97</v>
      </c>
      <c r="J37">
        <f t="shared" si="1"/>
        <v>-591.25</v>
      </c>
      <c r="K37" t="s">
        <v>92</v>
      </c>
    </row>
    <row r="38" spans="1:11" x14ac:dyDescent="0.2">
      <c r="A38" s="20">
        <v>1360</v>
      </c>
      <c r="C38" s="9" t="s">
        <v>5</v>
      </c>
      <c r="D38" t="s">
        <v>65</v>
      </c>
      <c r="E38">
        <v>1088.28</v>
      </c>
      <c r="F38">
        <v>436.01</v>
      </c>
      <c r="G38">
        <v>652.27</v>
      </c>
      <c r="H38">
        <v>14147.64</v>
      </c>
      <c r="I38">
        <v>5668.12</v>
      </c>
      <c r="J38">
        <v>8479.52</v>
      </c>
    </row>
    <row r="39" spans="1:11" x14ac:dyDescent="0.2">
      <c r="A39" s="3">
        <v>1799</v>
      </c>
      <c r="B39">
        <v>563</v>
      </c>
      <c r="C39" s="9" t="s">
        <v>5</v>
      </c>
      <c r="D39" t="s">
        <v>64</v>
      </c>
      <c r="E39">
        <v>85.8</v>
      </c>
      <c r="F39">
        <v>60.08</v>
      </c>
      <c r="G39">
        <f t="shared" si="0"/>
        <v>25.72</v>
      </c>
      <c r="H39">
        <v>514.79999999999995</v>
      </c>
      <c r="I39">
        <v>360.48</v>
      </c>
      <c r="J39">
        <f t="shared" si="1"/>
        <v>154.31999999999994</v>
      </c>
      <c r="K39" t="s">
        <v>92</v>
      </c>
    </row>
    <row r="40" spans="1:11" x14ac:dyDescent="0.2">
      <c r="A40">
        <v>1882</v>
      </c>
      <c r="B40">
        <v>588</v>
      </c>
      <c r="C40" s="9" t="s">
        <v>5</v>
      </c>
      <c r="D40" t="s">
        <v>50</v>
      </c>
      <c r="E40">
        <v>19.850000000000001</v>
      </c>
      <c r="F40">
        <v>48.59</v>
      </c>
      <c r="G40" s="8">
        <f t="shared" si="0"/>
        <v>-28.740000000000002</v>
      </c>
      <c r="H40">
        <v>198.54</v>
      </c>
      <c r="I40">
        <v>485.87</v>
      </c>
      <c r="J40" s="8">
        <f t="shared" si="1"/>
        <v>-287.33000000000004</v>
      </c>
      <c r="K40" t="s">
        <v>104</v>
      </c>
    </row>
    <row r="41" spans="1:11" x14ac:dyDescent="0.2">
      <c r="A41">
        <v>2278</v>
      </c>
      <c r="B41">
        <v>571</v>
      </c>
      <c r="C41" s="9" t="s">
        <v>5</v>
      </c>
      <c r="D41" t="s">
        <v>51</v>
      </c>
      <c r="E41">
        <v>67.5</v>
      </c>
      <c r="F41">
        <v>52.08</v>
      </c>
      <c r="G41">
        <f t="shared" si="0"/>
        <v>15.420000000000002</v>
      </c>
      <c r="H41">
        <v>337.5</v>
      </c>
      <c r="I41">
        <v>260.39999999999998</v>
      </c>
      <c r="J41">
        <f t="shared" si="1"/>
        <v>77.100000000000023</v>
      </c>
      <c r="K41" t="s">
        <v>92</v>
      </c>
    </row>
    <row r="42" spans="1:11" x14ac:dyDescent="0.2">
      <c r="A42">
        <v>2502</v>
      </c>
      <c r="C42" s="9" t="s">
        <v>5</v>
      </c>
      <c r="D42" t="s">
        <v>52</v>
      </c>
      <c r="E42">
        <v>254.03</v>
      </c>
      <c r="F42">
        <v>242.87</v>
      </c>
      <c r="G42">
        <f t="shared" si="0"/>
        <v>11.159999999999997</v>
      </c>
      <c r="H42">
        <v>1524.15</v>
      </c>
      <c r="I42">
        <v>1457.23</v>
      </c>
      <c r="J42">
        <f t="shared" si="1"/>
        <v>66.920000000000073</v>
      </c>
      <c r="K42" t="s">
        <v>92</v>
      </c>
    </row>
    <row r="43" spans="1:11" x14ac:dyDescent="0.2">
      <c r="A43" s="3" t="s">
        <v>6</v>
      </c>
      <c r="C43" s="9" t="s">
        <v>7</v>
      </c>
      <c r="D43" t="s">
        <v>53</v>
      </c>
      <c r="E43">
        <v>13.01</v>
      </c>
      <c r="F43">
        <v>28.87</v>
      </c>
      <c r="G43">
        <f t="shared" si="0"/>
        <v>-15.860000000000001</v>
      </c>
      <c r="H43">
        <v>91.08</v>
      </c>
      <c r="I43">
        <v>202.12</v>
      </c>
      <c r="J43">
        <f t="shared" si="1"/>
        <v>-111.04</v>
      </c>
      <c r="K43" t="s">
        <v>92</v>
      </c>
    </row>
    <row r="44" spans="1:11" x14ac:dyDescent="0.2">
      <c r="A44" s="19">
        <v>934</v>
      </c>
      <c r="C44" s="9" t="s">
        <v>8</v>
      </c>
      <c r="D44" t="s">
        <v>54</v>
      </c>
      <c r="E44">
        <v>1139.81</v>
      </c>
      <c r="F44">
        <v>1155.0899999999999</v>
      </c>
      <c r="G44">
        <f t="shared" si="0"/>
        <v>-15.279999999999973</v>
      </c>
      <c r="H44">
        <v>13677.75</v>
      </c>
      <c r="I44">
        <v>13861.12</v>
      </c>
      <c r="J44">
        <f t="shared" si="1"/>
        <v>-183.3700000000008</v>
      </c>
      <c r="K44" t="s">
        <v>92</v>
      </c>
    </row>
    <row r="45" spans="1:11" x14ac:dyDescent="0.2">
      <c r="A45">
        <v>1311</v>
      </c>
      <c r="C45" s="9" t="s">
        <v>9</v>
      </c>
      <c r="D45" t="s">
        <v>55</v>
      </c>
      <c r="E45">
        <v>3520.28</v>
      </c>
      <c r="F45">
        <v>1980.88</v>
      </c>
      <c r="G45" s="8">
        <f t="shared" si="0"/>
        <v>1539.4</v>
      </c>
      <c r="H45">
        <v>56324.52</v>
      </c>
      <c r="I45">
        <v>31694.13</v>
      </c>
      <c r="J45" s="8">
        <f t="shared" si="1"/>
        <v>24630.389999999996</v>
      </c>
      <c r="K45" t="s">
        <v>104</v>
      </c>
    </row>
    <row r="46" spans="1:11" x14ac:dyDescent="0.2">
      <c r="A46">
        <v>1674</v>
      </c>
      <c r="C46" s="9" t="s">
        <v>10</v>
      </c>
      <c r="D46" t="s">
        <v>56</v>
      </c>
      <c r="E46">
        <v>617.24</v>
      </c>
      <c r="F46">
        <v>1180.8800000000001</v>
      </c>
      <c r="G46" s="8">
        <f t="shared" si="0"/>
        <v>-563.6400000000001</v>
      </c>
      <c r="H46">
        <v>6789.69</v>
      </c>
      <c r="I46">
        <v>12989.67</v>
      </c>
      <c r="J46" s="8">
        <f t="shared" si="1"/>
        <v>-6199.9800000000005</v>
      </c>
      <c r="K46" t="s">
        <v>104</v>
      </c>
    </row>
    <row r="47" spans="1:11" x14ac:dyDescent="0.2">
      <c r="A47">
        <v>1201</v>
      </c>
      <c r="C47" s="9" t="s">
        <v>11</v>
      </c>
      <c r="D47" t="s">
        <v>57</v>
      </c>
      <c r="E47">
        <v>10.73</v>
      </c>
      <c r="F47">
        <v>1067.5899999999999</v>
      </c>
      <c r="G47" s="8">
        <f t="shared" si="0"/>
        <v>-1056.8599999999999</v>
      </c>
      <c r="H47">
        <v>117.99</v>
      </c>
      <c r="I47">
        <v>11743.54</v>
      </c>
      <c r="J47" s="8">
        <f t="shared" si="1"/>
        <v>-11625.550000000001</v>
      </c>
      <c r="K47" t="s">
        <v>104</v>
      </c>
    </row>
    <row r="48" spans="1:11" x14ac:dyDescent="0.2">
      <c r="A48">
        <v>1897</v>
      </c>
      <c r="C48" s="9" t="s">
        <v>12</v>
      </c>
      <c r="D48" t="s">
        <v>58</v>
      </c>
      <c r="E48">
        <v>1336.62</v>
      </c>
      <c r="F48">
        <v>659.17</v>
      </c>
      <c r="G48" s="8">
        <f t="shared" si="0"/>
        <v>677.44999999999993</v>
      </c>
      <c r="H48">
        <v>8019.72</v>
      </c>
      <c r="I48">
        <v>3955.01</v>
      </c>
      <c r="J48" s="8">
        <f t="shared" si="1"/>
        <v>4064.71</v>
      </c>
      <c r="K48" t="s">
        <v>104</v>
      </c>
    </row>
    <row r="49" spans="1:11" x14ac:dyDescent="0.2">
      <c r="A49">
        <v>1202</v>
      </c>
      <c r="C49" s="9" t="s">
        <v>13</v>
      </c>
      <c r="D49" t="s">
        <v>59</v>
      </c>
      <c r="E49">
        <v>2.89</v>
      </c>
      <c r="F49">
        <v>185.92</v>
      </c>
      <c r="G49" s="8">
        <f t="shared" si="0"/>
        <v>-183.03</v>
      </c>
      <c r="H49">
        <v>40.409999999999997</v>
      </c>
      <c r="I49">
        <v>2602.92</v>
      </c>
      <c r="J49" s="8">
        <f t="shared" si="1"/>
        <v>-2562.5100000000002</v>
      </c>
      <c r="K49" t="s">
        <v>104</v>
      </c>
    </row>
    <row r="50" spans="1:11" x14ac:dyDescent="0.2">
      <c r="A50" s="20">
        <v>1775</v>
      </c>
      <c r="C50" s="9" t="s">
        <v>13</v>
      </c>
      <c r="D50" t="s">
        <v>60</v>
      </c>
      <c r="E50">
        <v>146.57</v>
      </c>
      <c r="F50">
        <v>320.77</v>
      </c>
      <c r="G50">
        <v>-174.2</v>
      </c>
      <c r="H50">
        <v>1172.52</v>
      </c>
      <c r="I50">
        <v>2566.13</v>
      </c>
      <c r="J50">
        <v>-1393.61</v>
      </c>
    </row>
    <row r="51" spans="1:11" x14ac:dyDescent="0.2">
      <c r="A51">
        <v>904</v>
      </c>
      <c r="C51" s="9" t="s">
        <v>14</v>
      </c>
      <c r="D51" t="s">
        <v>63</v>
      </c>
      <c r="E51">
        <v>885.63</v>
      </c>
      <c r="F51">
        <v>885.56</v>
      </c>
      <c r="G51" s="8">
        <f t="shared" si="0"/>
        <v>7.0000000000050022E-2</v>
      </c>
      <c r="H51">
        <v>13284.45</v>
      </c>
      <c r="I51">
        <v>13283.41</v>
      </c>
      <c r="J51" s="8">
        <f t="shared" si="1"/>
        <v>1.0400000000008731</v>
      </c>
      <c r="K51" t="s">
        <v>104</v>
      </c>
    </row>
    <row r="52" spans="1:11" x14ac:dyDescent="0.2">
      <c r="A52">
        <v>1650</v>
      </c>
      <c r="C52" s="9" t="s">
        <v>14</v>
      </c>
      <c r="D52" t="s">
        <v>62</v>
      </c>
      <c r="E52">
        <v>1091.43</v>
      </c>
      <c r="F52">
        <v>1573.07</v>
      </c>
      <c r="G52" s="8">
        <f t="shared" ref="G52:G53" si="2">E52-F52</f>
        <v>-481.63999999999987</v>
      </c>
      <c r="H52">
        <v>14188.59</v>
      </c>
      <c r="I52">
        <v>20449.919999999998</v>
      </c>
      <c r="J52" s="8">
        <f t="shared" ref="J52:J53" si="3">H52-I52</f>
        <v>-6261.3299999999981</v>
      </c>
      <c r="K52" t="s">
        <v>104</v>
      </c>
    </row>
    <row r="53" spans="1:11" x14ac:dyDescent="0.2">
      <c r="A53" s="3">
        <v>1398</v>
      </c>
      <c r="C53" s="9" t="s">
        <v>15</v>
      </c>
      <c r="D53" t="s">
        <v>61</v>
      </c>
      <c r="E53">
        <v>989.92</v>
      </c>
      <c r="F53">
        <v>337.51</v>
      </c>
      <c r="G53">
        <f t="shared" si="2"/>
        <v>652.41</v>
      </c>
      <c r="H53">
        <v>8909.2800000000007</v>
      </c>
      <c r="I53">
        <v>3037.6</v>
      </c>
      <c r="J53">
        <f t="shared" si="3"/>
        <v>5871.68</v>
      </c>
      <c r="K53" t="s">
        <v>92</v>
      </c>
    </row>
  </sheetData>
  <conditionalFormatting sqref="G1:G1048576 J1:J1048576">
    <cfRule type="cellIs" dxfId="4" priority="2" operator="lessThan">
      <formula>0</formula>
    </cfRule>
  </conditionalFormatting>
  <conditionalFormatting sqref="G2:G53 J2:J1048576">
    <cfRule type="cellIs" dxfId="3" priority="1" operator="greaterThan">
      <formula>0</formula>
    </cfRule>
  </conditionalFormatting>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D2FC3-ECA3-394C-B4B4-945091F70784}">
  <dimension ref="A1:DA58"/>
  <sheetViews>
    <sheetView zoomScale="42" workbookViewId="0">
      <pane xSplit="1" topLeftCell="BT1" activePane="topRight" state="frozen"/>
      <selection pane="topRight" activeCell="CA11" sqref="CA11"/>
    </sheetView>
  </sheetViews>
  <sheetFormatPr baseColWidth="10" defaultRowHeight="16" x14ac:dyDescent="0.2"/>
  <cols>
    <col min="1" max="1" width="14" customWidth="1"/>
    <col min="2" max="2" width="14.6640625" customWidth="1"/>
    <col min="3" max="3" width="12.6640625" customWidth="1"/>
    <col min="4" max="4" width="31.33203125" customWidth="1"/>
    <col min="5" max="5" width="32.1640625" customWidth="1"/>
    <col min="6" max="11" width="10.83203125" customWidth="1"/>
    <col min="12" max="12" width="36.1640625" customWidth="1"/>
    <col min="13" max="13" width="24.83203125" customWidth="1"/>
    <col min="14" max="14" width="26.33203125" customWidth="1"/>
    <col min="15" max="15" width="21.33203125" customWidth="1"/>
    <col min="16" max="16" width="30" customWidth="1"/>
    <col min="17" max="43" width="10.83203125" customWidth="1"/>
    <col min="44" max="44" width="11.6640625" customWidth="1"/>
    <col min="45" max="77" width="10.83203125" customWidth="1"/>
    <col min="78" max="78" width="22.33203125" customWidth="1"/>
    <col min="79" max="79" width="39.1640625" customWidth="1"/>
    <col min="80" max="80" width="25.1640625" customWidth="1"/>
    <col min="81" max="81" width="27.33203125" customWidth="1"/>
    <col min="82" max="83" width="10.83203125" customWidth="1"/>
    <col min="84" max="84" width="34.33203125" customWidth="1"/>
    <col min="85" max="85" width="31.1640625" style="5" customWidth="1"/>
    <col min="86" max="86" width="41.83203125" customWidth="1"/>
    <col min="87" max="87" width="29.1640625" customWidth="1"/>
    <col min="91" max="91" width="18.6640625" customWidth="1"/>
    <col min="93" max="93" width="33.33203125" customWidth="1"/>
    <col min="95" max="95" width="12.6640625" customWidth="1"/>
    <col min="96" max="96" width="18.33203125" customWidth="1"/>
    <col min="99" max="99" width="26.6640625" customWidth="1"/>
    <col min="101" max="101" width="24.1640625" customWidth="1"/>
    <col min="102" max="102" width="32.5" customWidth="1"/>
  </cols>
  <sheetData>
    <row r="1" spans="1:105" s="7" customFormat="1" ht="17.5" customHeight="1" x14ac:dyDescent="0.2">
      <c r="A1" s="7" t="s">
        <v>99</v>
      </c>
      <c r="B1" s="6" t="s">
        <v>260</v>
      </c>
      <c r="C1" s="6" t="s">
        <v>261</v>
      </c>
      <c r="D1" s="6" t="s">
        <v>262</v>
      </c>
      <c r="E1" s="6" t="s">
        <v>263</v>
      </c>
      <c r="F1" s="6" t="s">
        <v>264</v>
      </c>
      <c r="G1" s="6" t="s">
        <v>265</v>
      </c>
      <c r="H1" s="6" t="s">
        <v>266</v>
      </c>
      <c r="I1" s="6" t="s">
        <v>267</v>
      </c>
      <c r="J1" s="6" t="s">
        <v>268</v>
      </c>
      <c r="K1" s="6" t="s">
        <v>269</v>
      </c>
      <c r="L1" s="6" t="s">
        <v>270</v>
      </c>
      <c r="M1" s="6" t="s">
        <v>271</v>
      </c>
      <c r="N1" s="6" t="s">
        <v>272</v>
      </c>
      <c r="O1" s="6" t="s">
        <v>273</v>
      </c>
      <c r="P1" s="6" t="s">
        <v>274</v>
      </c>
      <c r="Q1" s="6" t="s">
        <v>275</v>
      </c>
      <c r="R1" s="6" t="s">
        <v>276</v>
      </c>
      <c r="S1" s="6" t="s">
        <v>277</v>
      </c>
      <c r="T1" s="6" t="s">
        <v>278</v>
      </c>
      <c r="U1" s="6" t="s">
        <v>279</v>
      </c>
      <c r="V1" s="6" t="s">
        <v>280</v>
      </c>
      <c r="W1" s="6" t="s">
        <v>281</v>
      </c>
      <c r="X1" s="6" t="s">
        <v>282</v>
      </c>
      <c r="Y1" s="6" t="s">
        <v>283</v>
      </c>
      <c r="Z1" s="6" t="s">
        <v>284</v>
      </c>
      <c r="AA1" s="6" t="s">
        <v>285</v>
      </c>
      <c r="AB1" s="6" t="s">
        <v>286</v>
      </c>
      <c r="AC1" s="6" t="s">
        <v>287</v>
      </c>
      <c r="AD1" s="6" t="s">
        <v>288</v>
      </c>
      <c r="AE1" s="6" t="s">
        <v>289</v>
      </c>
      <c r="AF1" s="6" t="s">
        <v>290</v>
      </c>
      <c r="AG1" s="6" t="s">
        <v>291</v>
      </c>
      <c r="AH1" s="6" t="s">
        <v>292</v>
      </c>
      <c r="AI1" s="6" t="s">
        <v>293</v>
      </c>
      <c r="AJ1" s="6" t="s">
        <v>294</v>
      </c>
      <c r="AK1" s="6" t="s">
        <v>295</v>
      </c>
      <c r="AL1" s="6" t="s">
        <v>296</v>
      </c>
      <c r="AM1" s="6" t="s">
        <v>297</v>
      </c>
      <c r="AN1" s="6" t="s">
        <v>298</v>
      </c>
      <c r="AO1" s="6" t="s">
        <v>299</v>
      </c>
      <c r="AP1" s="6" t="s">
        <v>300</v>
      </c>
      <c r="AQ1" s="6" t="s">
        <v>301</v>
      </c>
      <c r="AR1" s="6" t="s">
        <v>302</v>
      </c>
      <c r="AS1" s="6" t="s">
        <v>303</v>
      </c>
      <c r="AT1" s="6" t="s">
        <v>304</v>
      </c>
      <c r="AU1" s="6" t="s">
        <v>305</v>
      </c>
      <c r="AV1" s="6" t="s">
        <v>306</v>
      </c>
      <c r="AW1" s="6" t="s">
        <v>307</v>
      </c>
      <c r="AX1" s="6" t="s">
        <v>308</v>
      </c>
      <c r="AY1" s="6" t="s">
        <v>309</v>
      </c>
      <c r="AZ1" s="6" t="s">
        <v>310</v>
      </c>
      <c r="BA1" s="6" t="s">
        <v>311</v>
      </c>
      <c r="BB1" s="6" t="s">
        <v>312</v>
      </c>
      <c r="BC1" s="6" t="s">
        <v>313</v>
      </c>
      <c r="BD1" s="6" t="s">
        <v>314</v>
      </c>
      <c r="BE1" s="6" t="s">
        <v>315</v>
      </c>
      <c r="BF1" s="6" t="s">
        <v>316</v>
      </c>
      <c r="BG1" s="6" t="s">
        <v>317</v>
      </c>
      <c r="BH1" s="6" t="s">
        <v>318</v>
      </c>
      <c r="BI1" s="6" t="s">
        <v>319</v>
      </c>
      <c r="BJ1" s="6" t="s">
        <v>320</v>
      </c>
      <c r="BK1" s="6" t="s">
        <v>321</v>
      </c>
      <c r="BL1" s="6" t="s">
        <v>322</v>
      </c>
      <c r="BM1" s="6" t="s">
        <v>323</v>
      </c>
      <c r="BN1" s="6" t="s">
        <v>324</v>
      </c>
      <c r="BO1" s="6" t="s">
        <v>325</v>
      </c>
      <c r="BP1" s="6" t="s">
        <v>326</v>
      </c>
      <c r="BQ1" s="6" t="s">
        <v>327</v>
      </c>
      <c r="BR1" s="6" t="s">
        <v>328</v>
      </c>
      <c r="BS1" s="6" t="s">
        <v>329</v>
      </c>
      <c r="BT1" s="6" t="s">
        <v>330</v>
      </c>
      <c r="BU1" s="6" t="s">
        <v>331</v>
      </c>
      <c r="BV1" s="6" t="s">
        <v>332</v>
      </c>
      <c r="BW1" s="6" t="s">
        <v>333</v>
      </c>
      <c r="BX1" s="6" t="s">
        <v>334</v>
      </c>
      <c r="BY1" s="6" t="s">
        <v>335</v>
      </c>
      <c r="BZ1" s="6" t="s">
        <v>336</v>
      </c>
      <c r="CA1" s="6" t="s">
        <v>337</v>
      </c>
      <c r="CB1" s="17" t="s">
        <v>1624</v>
      </c>
      <c r="CC1" s="6" t="s">
        <v>338</v>
      </c>
      <c r="CD1" s="6" t="s">
        <v>339</v>
      </c>
      <c r="CE1" s="6" t="s">
        <v>340</v>
      </c>
      <c r="CF1" s="6" t="s">
        <v>341</v>
      </c>
      <c r="CG1" s="22" t="s">
        <v>342</v>
      </c>
      <c r="CH1" s="17" t="s">
        <v>1550</v>
      </c>
      <c r="CI1" s="6" t="s">
        <v>343</v>
      </c>
      <c r="CJ1" s="6" t="s">
        <v>344</v>
      </c>
      <c r="CK1" s="6" t="s">
        <v>345</v>
      </c>
      <c r="CL1" s="6" t="s">
        <v>346</v>
      </c>
      <c r="CM1" s="17" t="s">
        <v>1598</v>
      </c>
      <c r="CN1" s="6" t="s">
        <v>347</v>
      </c>
      <c r="CO1" s="6" t="s">
        <v>348</v>
      </c>
      <c r="CP1" s="6" t="s">
        <v>349</v>
      </c>
      <c r="CQ1" s="6" t="s">
        <v>350</v>
      </c>
      <c r="CR1" s="17" t="s">
        <v>1551</v>
      </c>
      <c r="CS1" s="6" t="s">
        <v>351</v>
      </c>
      <c r="CT1" s="6" t="s">
        <v>352</v>
      </c>
      <c r="CU1" s="17" t="s">
        <v>1552</v>
      </c>
      <c r="CV1" s="6" t="s">
        <v>353</v>
      </c>
      <c r="CW1" s="6" t="s">
        <v>354</v>
      </c>
      <c r="CX1" s="17" t="s">
        <v>1553</v>
      </c>
      <c r="CY1" s="6" t="s">
        <v>355</v>
      </c>
      <c r="CZ1" s="6" t="s">
        <v>356</v>
      </c>
      <c r="DA1" s="18" t="s">
        <v>1554</v>
      </c>
    </row>
    <row r="2" spans="1:105" s="4" customFormat="1" ht="81" customHeight="1" x14ac:dyDescent="0.2">
      <c r="A2">
        <v>875</v>
      </c>
      <c r="B2">
        <v>234</v>
      </c>
      <c r="C2" t="s">
        <v>70</v>
      </c>
      <c r="D2" t="s">
        <v>71</v>
      </c>
      <c r="E2" t="s">
        <v>72</v>
      </c>
      <c r="F2" t="s">
        <v>3</v>
      </c>
      <c r="G2">
        <v>2020</v>
      </c>
      <c r="H2">
        <v>71714</v>
      </c>
      <c r="I2" t="s">
        <v>73</v>
      </c>
      <c r="J2" t="s">
        <v>74</v>
      </c>
      <c r="K2">
        <v>30</v>
      </c>
      <c r="L2" s="5" t="s">
        <v>75</v>
      </c>
      <c r="M2" t="s">
        <v>76</v>
      </c>
      <c r="N2" t="s">
        <v>77</v>
      </c>
      <c r="O2" t="s">
        <v>78</v>
      </c>
      <c r="P2" t="s">
        <v>79</v>
      </c>
      <c r="Q2" t="s">
        <v>80</v>
      </c>
      <c r="R2" t="s">
        <v>81</v>
      </c>
      <c r="S2" t="s">
        <v>82</v>
      </c>
      <c r="T2" t="s">
        <v>83</v>
      </c>
      <c r="U2" t="s">
        <v>84</v>
      </c>
      <c r="V2" t="s">
        <v>83</v>
      </c>
      <c r="W2" t="s">
        <v>83</v>
      </c>
      <c r="X2" t="s">
        <v>83</v>
      </c>
      <c r="Y2" t="s">
        <v>83</v>
      </c>
      <c r="Z2" t="s">
        <v>84</v>
      </c>
      <c r="AA2" t="s">
        <v>85</v>
      </c>
      <c r="AB2" t="s">
        <v>86</v>
      </c>
      <c r="AC2" t="s">
        <v>87</v>
      </c>
      <c r="AD2" t="s">
        <v>88</v>
      </c>
      <c r="AE2" t="s">
        <v>73</v>
      </c>
      <c r="AF2" t="s">
        <v>89</v>
      </c>
      <c r="AG2" t="s">
        <v>89</v>
      </c>
      <c r="AH2" t="s">
        <v>89</v>
      </c>
      <c r="AI2" t="s">
        <v>89</v>
      </c>
      <c r="AJ2" t="s">
        <v>90</v>
      </c>
      <c r="AK2" t="s">
        <v>91</v>
      </c>
      <c r="AL2" t="s">
        <v>92</v>
      </c>
      <c r="AM2" t="s">
        <v>93</v>
      </c>
      <c r="AN2" t="s">
        <v>94</v>
      </c>
      <c r="AO2" t="s">
        <v>95</v>
      </c>
      <c r="AP2" t="s">
        <v>96</v>
      </c>
      <c r="AQ2" t="s">
        <v>96</v>
      </c>
      <c r="AR2">
        <v>882987.62333333329</v>
      </c>
      <c r="AS2">
        <v>26489628.699999999</v>
      </c>
      <c r="AT2">
        <v>3433702.3000000007</v>
      </c>
      <c r="AU2">
        <v>29923331</v>
      </c>
      <c r="AV2">
        <v>30804666.599999998</v>
      </c>
      <c r="AW2">
        <v>881335.6</v>
      </c>
      <c r="AX2">
        <v>0</v>
      </c>
      <c r="AY2" t="s">
        <v>85</v>
      </c>
      <c r="AZ2">
        <v>89</v>
      </c>
      <c r="BA2" t="s">
        <v>97</v>
      </c>
      <c r="BB2" t="s">
        <v>83</v>
      </c>
      <c r="BC2" t="s">
        <v>73</v>
      </c>
      <c r="BD2" t="s">
        <v>73</v>
      </c>
      <c r="BE2">
        <v>2017</v>
      </c>
      <c r="BF2">
        <v>2019</v>
      </c>
      <c r="BG2" t="s">
        <v>98</v>
      </c>
      <c r="BH2" t="s">
        <v>99</v>
      </c>
      <c r="BI2" t="s">
        <v>100</v>
      </c>
      <c r="BJ2">
        <v>41122</v>
      </c>
      <c r="BK2" t="s">
        <v>101</v>
      </c>
      <c r="BL2" t="s">
        <v>73</v>
      </c>
      <c r="BM2" t="s">
        <v>102</v>
      </c>
      <c r="BN2" t="s">
        <v>73</v>
      </c>
      <c r="BO2" t="s">
        <v>73</v>
      </c>
      <c r="BP2" t="s">
        <v>73</v>
      </c>
      <c r="BQ2" t="s">
        <v>73</v>
      </c>
      <c r="BR2" t="s">
        <v>102</v>
      </c>
      <c r="BS2" t="s">
        <v>73</v>
      </c>
      <c r="BT2" t="s">
        <v>73</v>
      </c>
      <c r="BU2" t="s">
        <v>73</v>
      </c>
      <c r="BV2" t="s">
        <v>73</v>
      </c>
      <c r="BW2" t="s">
        <v>103</v>
      </c>
      <c r="BX2" t="s">
        <v>103</v>
      </c>
      <c r="BY2" t="s">
        <v>104</v>
      </c>
      <c r="BZ2" t="s">
        <v>105</v>
      </c>
      <c r="CA2" t="s">
        <v>106</v>
      </c>
      <c r="CB2" t="s">
        <v>1574</v>
      </c>
      <c r="CC2" t="s">
        <v>107</v>
      </c>
      <c r="CD2" t="s">
        <v>104</v>
      </c>
      <c r="CE2" t="s">
        <v>73</v>
      </c>
      <c r="CF2" t="s">
        <v>104</v>
      </c>
      <c r="CG2" s="5" t="s">
        <v>108</v>
      </c>
      <c r="CH2" t="s">
        <v>1586</v>
      </c>
      <c r="CI2" t="s">
        <v>109</v>
      </c>
      <c r="CJ2" t="s">
        <v>110</v>
      </c>
      <c r="CK2" t="s">
        <v>92</v>
      </c>
      <c r="CL2" t="s">
        <v>73</v>
      </c>
      <c r="CM2" t="s">
        <v>73</v>
      </c>
      <c r="CN2" t="s">
        <v>104</v>
      </c>
      <c r="CO2" t="s">
        <v>111</v>
      </c>
      <c r="CP2" t="s">
        <v>92</v>
      </c>
      <c r="CQ2" t="s">
        <v>104</v>
      </c>
      <c r="CR2" t="s">
        <v>1603</v>
      </c>
      <c r="CS2" t="s">
        <v>92</v>
      </c>
      <c r="CT2" t="s">
        <v>112</v>
      </c>
      <c r="CU2"/>
      <c r="CV2" t="s">
        <v>92</v>
      </c>
      <c r="CW2" t="s">
        <v>112</v>
      </c>
      <c r="CX2"/>
      <c r="CY2" t="s">
        <v>92</v>
      </c>
      <c r="CZ2" t="s">
        <v>73</v>
      </c>
    </row>
    <row r="3" spans="1:105" s="4" customFormat="1" ht="33" customHeight="1" x14ac:dyDescent="0.2">
      <c r="A3">
        <v>977</v>
      </c>
      <c r="B3">
        <v>236</v>
      </c>
      <c r="C3" t="s">
        <v>70</v>
      </c>
      <c r="D3" t="s">
        <v>113</v>
      </c>
      <c r="E3" t="s">
        <v>114</v>
      </c>
      <c r="F3" t="s">
        <v>3</v>
      </c>
      <c r="G3">
        <v>2020</v>
      </c>
      <c r="H3">
        <v>117900</v>
      </c>
      <c r="I3" t="s">
        <v>73</v>
      </c>
      <c r="J3" t="s">
        <v>115</v>
      </c>
      <c r="K3">
        <v>40</v>
      </c>
      <c r="L3" s="5" t="s">
        <v>116</v>
      </c>
      <c r="M3" t="s">
        <v>117</v>
      </c>
      <c r="N3" t="s">
        <v>78</v>
      </c>
      <c r="O3" t="s">
        <v>118</v>
      </c>
      <c r="P3" t="s">
        <v>119</v>
      </c>
      <c r="Q3" t="s">
        <v>80</v>
      </c>
      <c r="R3" t="s">
        <v>82</v>
      </c>
      <c r="S3" t="s">
        <v>82</v>
      </c>
      <c r="T3" t="s">
        <v>83</v>
      </c>
      <c r="U3" t="s">
        <v>84</v>
      </c>
      <c r="V3" t="s">
        <v>83</v>
      </c>
      <c r="W3" t="s">
        <v>83</v>
      </c>
      <c r="X3" t="s">
        <v>83</v>
      </c>
      <c r="Y3" t="s">
        <v>83</v>
      </c>
      <c r="Z3" t="s">
        <v>84</v>
      </c>
      <c r="AA3" t="s">
        <v>85</v>
      </c>
      <c r="AB3" t="s">
        <v>120</v>
      </c>
      <c r="AC3" t="s">
        <v>87</v>
      </c>
      <c r="AD3" t="s">
        <v>121</v>
      </c>
      <c r="AE3" t="s">
        <v>73</v>
      </c>
      <c r="AF3" t="s">
        <v>89</v>
      </c>
      <c r="AG3" t="s">
        <v>89</v>
      </c>
      <c r="AH3" t="s">
        <v>89</v>
      </c>
      <c r="AI3" t="s">
        <v>89</v>
      </c>
      <c r="AJ3" t="s">
        <v>122</v>
      </c>
      <c r="AK3" t="s">
        <v>123</v>
      </c>
      <c r="AL3" t="s">
        <v>104</v>
      </c>
      <c r="AM3" t="s">
        <v>93</v>
      </c>
      <c r="AN3" t="s">
        <v>124</v>
      </c>
      <c r="AO3" t="s">
        <v>125</v>
      </c>
      <c r="AP3" t="s">
        <v>73</v>
      </c>
      <c r="AQ3" t="s">
        <v>73</v>
      </c>
      <c r="AR3" t="s">
        <v>73</v>
      </c>
      <c r="AS3" t="s">
        <v>73</v>
      </c>
      <c r="AT3" t="s">
        <v>73</v>
      </c>
      <c r="AU3" t="s">
        <v>73</v>
      </c>
      <c r="AV3" t="s">
        <v>73</v>
      </c>
      <c r="AW3" t="s">
        <v>73</v>
      </c>
      <c r="AX3" t="s">
        <v>73</v>
      </c>
      <c r="AY3" t="s">
        <v>73</v>
      </c>
      <c r="AZ3" t="s">
        <v>73</v>
      </c>
      <c r="BA3" t="s">
        <v>73</v>
      </c>
      <c r="BB3" t="s">
        <v>73</v>
      </c>
      <c r="BC3" t="s">
        <v>73</v>
      </c>
      <c r="BD3" t="s">
        <v>73</v>
      </c>
      <c r="BE3" t="s">
        <v>73</v>
      </c>
      <c r="BF3" t="s">
        <v>73</v>
      </c>
      <c r="BG3" t="s">
        <v>73</v>
      </c>
      <c r="BH3" t="s">
        <v>73</v>
      </c>
      <c r="BI3" t="s">
        <v>73</v>
      </c>
      <c r="BJ3" t="s">
        <v>73</v>
      </c>
      <c r="BK3" t="s">
        <v>73</v>
      </c>
      <c r="BL3" t="s">
        <v>73</v>
      </c>
      <c r="BM3" t="s">
        <v>73</v>
      </c>
      <c r="BN3" t="s">
        <v>73</v>
      </c>
      <c r="BO3" t="s">
        <v>73</v>
      </c>
      <c r="BP3" t="s">
        <v>73</v>
      </c>
      <c r="BQ3" t="s">
        <v>73</v>
      </c>
      <c r="BR3" t="s">
        <v>73</v>
      </c>
      <c r="BS3" t="s">
        <v>73</v>
      </c>
      <c r="BT3" t="s">
        <v>73</v>
      </c>
      <c r="BU3" t="s">
        <v>73</v>
      </c>
      <c r="BV3" t="s">
        <v>73</v>
      </c>
      <c r="BW3" t="s">
        <v>126</v>
      </c>
      <c r="BX3" t="s">
        <v>126</v>
      </c>
      <c r="BY3" t="s">
        <v>104</v>
      </c>
      <c r="BZ3" t="s">
        <v>127</v>
      </c>
      <c r="CA3" t="s">
        <v>128</v>
      </c>
      <c r="CB3" t="s">
        <v>1575</v>
      </c>
      <c r="CC3" t="s">
        <v>129</v>
      </c>
      <c r="CD3" t="s">
        <v>104</v>
      </c>
      <c r="CE3" t="s">
        <v>73</v>
      </c>
      <c r="CF3" t="s">
        <v>104</v>
      </c>
      <c r="CG3" s="5" t="s">
        <v>130</v>
      </c>
      <c r="CH3" t="s">
        <v>1585</v>
      </c>
      <c r="CI3" t="s">
        <v>131</v>
      </c>
      <c r="CJ3" t="s">
        <v>132</v>
      </c>
      <c r="CK3" t="s">
        <v>104</v>
      </c>
      <c r="CL3" t="s">
        <v>133</v>
      </c>
      <c r="CM3" t="s">
        <v>1600</v>
      </c>
      <c r="CN3" t="s">
        <v>104</v>
      </c>
      <c r="CO3" t="s">
        <v>134</v>
      </c>
      <c r="CP3" t="s">
        <v>92</v>
      </c>
      <c r="CQ3" t="s">
        <v>73</v>
      </c>
      <c r="CR3" t="s">
        <v>1603</v>
      </c>
      <c r="CS3" t="s">
        <v>92</v>
      </c>
      <c r="CT3" t="s">
        <v>112</v>
      </c>
      <c r="CU3"/>
      <c r="CV3" t="s">
        <v>92</v>
      </c>
      <c r="CW3" t="s">
        <v>112</v>
      </c>
      <c r="CX3"/>
      <c r="CY3" t="s">
        <v>92</v>
      </c>
      <c r="CZ3" t="s">
        <v>112</v>
      </c>
    </row>
    <row r="4" spans="1:105" s="4" customFormat="1" ht="15" customHeight="1" x14ac:dyDescent="0.2">
      <c r="A4">
        <v>963</v>
      </c>
      <c r="B4">
        <v>237</v>
      </c>
      <c r="C4" t="s">
        <v>70</v>
      </c>
      <c r="D4" t="s">
        <v>18</v>
      </c>
      <c r="E4" t="s">
        <v>135</v>
      </c>
      <c r="F4" t="s">
        <v>3</v>
      </c>
      <c r="G4">
        <v>2020</v>
      </c>
      <c r="H4">
        <v>34702</v>
      </c>
      <c r="I4" t="s">
        <v>73</v>
      </c>
      <c r="J4" t="s">
        <v>136</v>
      </c>
      <c r="K4">
        <v>40</v>
      </c>
      <c r="L4" t="s">
        <v>137</v>
      </c>
      <c r="M4" t="s">
        <v>138</v>
      </c>
      <c r="N4" t="s">
        <v>78</v>
      </c>
      <c r="O4" t="s">
        <v>73</v>
      </c>
      <c r="P4" t="s">
        <v>139</v>
      </c>
      <c r="Q4" t="s">
        <v>80</v>
      </c>
      <c r="R4" t="s">
        <v>140</v>
      </c>
      <c r="S4" t="s">
        <v>82</v>
      </c>
      <c r="T4" t="s">
        <v>73</v>
      </c>
      <c r="U4" t="s">
        <v>84</v>
      </c>
      <c r="V4" t="s">
        <v>83</v>
      </c>
      <c r="W4" t="s">
        <v>83</v>
      </c>
      <c r="X4" t="s">
        <v>83</v>
      </c>
      <c r="Y4" t="s">
        <v>83</v>
      </c>
      <c r="Z4" t="s">
        <v>85</v>
      </c>
      <c r="AA4" t="s">
        <v>85</v>
      </c>
      <c r="AB4" t="s">
        <v>141</v>
      </c>
      <c r="AC4" t="s">
        <v>87</v>
      </c>
      <c r="AD4" t="s">
        <v>88</v>
      </c>
      <c r="AE4" t="s">
        <v>84</v>
      </c>
      <c r="AF4" t="s">
        <v>89</v>
      </c>
      <c r="AG4" t="s">
        <v>89</v>
      </c>
      <c r="AH4" t="s">
        <v>89</v>
      </c>
      <c r="AI4" t="s">
        <v>89</v>
      </c>
      <c r="AJ4" t="s">
        <v>142</v>
      </c>
      <c r="AK4" t="s">
        <v>143</v>
      </c>
      <c r="AL4" t="s">
        <v>92</v>
      </c>
      <c r="AM4" t="s">
        <v>93</v>
      </c>
      <c r="AN4" t="s">
        <v>144</v>
      </c>
      <c r="AO4" t="s">
        <v>145</v>
      </c>
      <c r="AP4" t="s">
        <v>146</v>
      </c>
      <c r="AQ4" t="s">
        <v>147</v>
      </c>
      <c r="AR4">
        <v>94005.666666666672</v>
      </c>
      <c r="AS4">
        <v>282017</v>
      </c>
      <c r="AT4">
        <v>35017</v>
      </c>
      <c r="AU4">
        <v>317034</v>
      </c>
      <c r="AV4">
        <v>350175</v>
      </c>
      <c r="AW4">
        <v>33141</v>
      </c>
      <c r="AX4">
        <v>0</v>
      </c>
      <c r="AY4" t="s">
        <v>85</v>
      </c>
      <c r="AZ4">
        <v>23.5</v>
      </c>
      <c r="BA4" t="s">
        <v>148</v>
      </c>
      <c r="BB4" t="s">
        <v>83</v>
      </c>
      <c r="BC4" t="s">
        <v>149</v>
      </c>
      <c r="BD4" t="s">
        <v>83</v>
      </c>
      <c r="BE4">
        <v>2018</v>
      </c>
      <c r="BF4">
        <v>2022</v>
      </c>
      <c r="BG4" t="s">
        <v>150</v>
      </c>
      <c r="BH4" t="s">
        <v>151</v>
      </c>
      <c r="BI4" t="s">
        <v>152</v>
      </c>
      <c r="BJ4" t="s">
        <v>73</v>
      </c>
      <c r="BK4" t="s">
        <v>153</v>
      </c>
      <c r="BL4" t="s">
        <v>73</v>
      </c>
      <c r="BM4" t="s">
        <v>99</v>
      </c>
      <c r="BN4" t="s">
        <v>154</v>
      </c>
      <c r="BO4">
        <v>42917</v>
      </c>
      <c r="BP4" t="s">
        <v>155</v>
      </c>
      <c r="BQ4" t="s">
        <v>73</v>
      </c>
      <c r="BR4" t="s">
        <v>102</v>
      </c>
      <c r="BS4" t="s">
        <v>73</v>
      </c>
      <c r="BT4" t="s">
        <v>73</v>
      </c>
      <c r="BU4" t="s">
        <v>73</v>
      </c>
      <c r="BV4" t="s">
        <v>73</v>
      </c>
      <c r="BW4" t="s">
        <v>156</v>
      </c>
      <c r="BX4" t="s">
        <v>156</v>
      </c>
      <c r="BY4" t="s">
        <v>104</v>
      </c>
      <c r="BZ4" t="s">
        <v>105</v>
      </c>
      <c r="CA4" t="s">
        <v>157</v>
      </c>
      <c r="CB4" t="s">
        <v>1581</v>
      </c>
      <c r="CC4" t="s">
        <v>107</v>
      </c>
      <c r="CD4" t="s">
        <v>104</v>
      </c>
      <c r="CE4" t="s">
        <v>73</v>
      </c>
      <c r="CF4" t="s">
        <v>104</v>
      </c>
      <c r="CG4" s="5" t="s">
        <v>158</v>
      </c>
      <c r="CH4" t="s">
        <v>1595</v>
      </c>
      <c r="CI4" t="s">
        <v>159</v>
      </c>
      <c r="CJ4" t="s">
        <v>160</v>
      </c>
      <c r="CK4" t="s">
        <v>104</v>
      </c>
      <c r="CL4" t="s">
        <v>161</v>
      </c>
      <c r="CM4" t="s">
        <v>1600</v>
      </c>
      <c r="CN4" t="s">
        <v>104</v>
      </c>
      <c r="CO4" t="s">
        <v>162</v>
      </c>
      <c r="CP4" t="s">
        <v>104</v>
      </c>
      <c r="CQ4" t="s">
        <v>163</v>
      </c>
      <c r="CR4" t="s">
        <v>1603</v>
      </c>
      <c r="CS4" t="s">
        <v>104</v>
      </c>
      <c r="CT4" t="s">
        <v>164</v>
      </c>
      <c r="CU4"/>
      <c r="CV4" t="s">
        <v>104</v>
      </c>
      <c r="CW4" t="s">
        <v>165</v>
      </c>
      <c r="CX4"/>
      <c r="CY4" t="s">
        <v>104</v>
      </c>
      <c r="CZ4" t="s">
        <v>166</v>
      </c>
    </row>
    <row r="5" spans="1:105" s="4" customFormat="1" ht="51" x14ac:dyDescent="0.2">
      <c r="A5">
        <v>1118</v>
      </c>
      <c r="B5">
        <v>246</v>
      </c>
      <c r="C5" t="s">
        <v>167</v>
      </c>
      <c r="D5" t="s">
        <v>168</v>
      </c>
      <c r="E5" t="s">
        <v>169</v>
      </c>
      <c r="F5" t="s">
        <v>3</v>
      </c>
      <c r="G5">
        <v>2020</v>
      </c>
      <c r="H5">
        <v>247845</v>
      </c>
      <c r="I5" t="s">
        <v>73</v>
      </c>
      <c r="J5" t="s">
        <v>170</v>
      </c>
      <c r="K5">
        <v>30</v>
      </c>
      <c r="L5" t="s">
        <v>171</v>
      </c>
      <c r="M5" t="s">
        <v>138</v>
      </c>
      <c r="N5" t="s">
        <v>78</v>
      </c>
      <c r="O5" t="s">
        <v>117</v>
      </c>
      <c r="P5" t="s">
        <v>172</v>
      </c>
      <c r="Q5" t="s">
        <v>80</v>
      </c>
      <c r="R5" t="s">
        <v>82</v>
      </c>
      <c r="S5" t="s">
        <v>82</v>
      </c>
      <c r="T5" t="s">
        <v>83</v>
      </c>
      <c r="U5" t="s">
        <v>84</v>
      </c>
      <c r="V5" t="s">
        <v>83</v>
      </c>
      <c r="W5" t="s">
        <v>83</v>
      </c>
      <c r="X5" t="s">
        <v>83</v>
      </c>
      <c r="Y5" t="s">
        <v>83</v>
      </c>
      <c r="Z5" t="s">
        <v>85</v>
      </c>
      <c r="AA5" t="s">
        <v>85</v>
      </c>
      <c r="AB5" t="s">
        <v>173</v>
      </c>
      <c r="AC5" t="s">
        <v>87</v>
      </c>
      <c r="AD5" t="s">
        <v>174</v>
      </c>
      <c r="AE5" t="s">
        <v>85</v>
      </c>
      <c r="AF5" t="s">
        <v>89</v>
      </c>
      <c r="AG5" t="s">
        <v>89</v>
      </c>
      <c r="AH5" t="s">
        <v>89</v>
      </c>
      <c r="AI5" t="s">
        <v>89</v>
      </c>
      <c r="AJ5" t="s">
        <v>175</v>
      </c>
      <c r="AK5" t="s">
        <v>176</v>
      </c>
      <c r="AL5" t="s">
        <v>92</v>
      </c>
      <c r="AM5" t="s">
        <v>93</v>
      </c>
      <c r="AN5" t="s">
        <v>177</v>
      </c>
      <c r="AO5" t="s">
        <v>178</v>
      </c>
      <c r="AP5" t="s">
        <v>179</v>
      </c>
      <c r="AQ5"/>
      <c r="AR5"/>
      <c r="AS5">
        <v>7423806</v>
      </c>
      <c r="AT5">
        <v>0</v>
      </c>
      <c r="AU5">
        <v>0</v>
      </c>
      <c r="AV5">
        <v>0</v>
      </c>
      <c r="AW5">
        <v>0</v>
      </c>
      <c r="AX5">
        <v>0</v>
      </c>
      <c r="AY5" t="s">
        <v>73</v>
      </c>
      <c r="AZ5" t="s">
        <v>73</v>
      </c>
      <c r="BA5" t="s">
        <v>73</v>
      </c>
      <c r="BB5" t="s">
        <v>73</v>
      </c>
      <c r="BC5" t="s">
        <v>73</v>
      </c>
      <c r="BD5" t="s">
        <v>73</v>
      </c>
      <c r="BE5" t="s">
        <v>73</v>
      </c>
      <c r="BF5" t="s">
        <v>73</v>
      </c>
      <c r="BG5" t="s">
        <v>73</v>
      </c>
      <c r="BH5" t="s">
        <v>151</v>
      </c>
      <c r="BI5" t="s">
        <v>180</v>
      </c>
      <c r="BJ5">
        <v>40998</v>
      </c>
      <c r="BK5" t="s">
        <v>181</v>
      </c>
      <c r="BL5" t="s">
        <v>73</v>
      </c>
      <c r="BM5" t="s">
        <v>99</v>
      </c>
      <c r="BN5" t="s">
        <v>100</v>
      </c>
      <c r="BO5">
        <v>40968</v>
      </c>
      <c r="BP5" t="s">
        <v>181</v>
      </c>
      <c r="BQ5" t="s">
        <v>73</v>
      </c>
      <c r="BR5" t="s">
        <v>102</v>
      </c>
      <c r="BS5" t="s">
        <v>73</v>
      </c>
      <c r="BT5" t="s">
        <v>73</v>
      </c>
      <c r="BU5" t="s">
        <v>73</v>
      </c>
      <c r="BV5" t="s">
        <v>73</v>
      </c>
      <c r="BW5" t="s">
        <v>182</v>
      </c>
      <c r="BX5" t="s">
        <v>182</v>
      </c>
      <c r="BY5" t="s">
        <v>104</v>
      </c>
      <c r="BZ5" t="s">
        <v>105</v>
      </c>
      <c r="CA5" t="s">
        <v>183</v>
      </c>
      <c r="CB5" t="s">
        <v>1574</v>
      </c>
      <c r="CC5" t="s">
        <v>73</v>
      </c>
      <c r="CD5" t="s">
        <v>104</v>
      </c>
      <c r="CE5" t="s">
        <v>73</v>
      </c>
      <c r="CF5" t="s">
        <v>104</v>
      </c>
      <c r="CG5" s="5" t="s">
        <v>184</v>
      </c>
      <c r="CH5" t="s">
        <v>1606</v>
      </c>
      <c r="CI5" t="s">
        <v>185</v>
      </c>
      <c r="CJ5" t="s">
        <v>186</v>
      </c>
      <c r="CK5" t="s">
        <v>104</v>
      </c>
      <c r="CL5" t="s">
        <v>187</v>
      </c>
      <c r="CM5" t="s">
        <v>73</v>
      </c>
      <c r="CN5" t="s">
        <v>92</v>
      </c>
      <c r="CO5" t="s">
        <v>188</v>
      </c>
      <c r="CP5" t="s">
        <v>104</v>
      </c>
      <c r="CQ5" t="s">
        <v>189</v>
      </c>
      <c r="CR5" t="s">
        <v>1603</v>
      </c>
      <c r="CS5" t="s">
        <v>92</v>
      </c>
      <c r="CT5" t="s">
        <v>190</v>
      </c>
      <c r="CU5"/>
      <c r="CV5" t="s">
        <v>92</v>
      </c>
      <c r="CW5" t="s">
        <v>112</v>
      </c>
      <c r="CX5"/>
      <c r="CY5" t="s">
        <v>104</v>
      </c>
      <c r="CZ5" t="s">
        <v>191</v>
      </c>
    </row>
    <row r="6" spans="1:105" s="4" customFormat="1" ht="15" customHeight="1" x14ac:dyDescent="0.2">
      <c r="A6">
        <v>1115</v>
      </c>
      <c r="B6">
        <v>270</v>
      </c>
      <c r="C6" t="s">
        <v>70</v>
      </c>
      <c r="D6" t="s">
        <v>192</v>
      </c>
      <c r="E6" t="s">
        <v>193</v>
      </c>
      <c r="F6" t="s">
        <v>3</v>
      </c>
      <c r="G6">
        <v>2020</v>
      </c>
      <c r="H6">
        <v>65980</v>
      </c>
      <c r="I6" t="s">
        <v>73</v>
      </c>
      <c r="J6" t="s">
        <v>136</v>
      </c>
      <c r="K6">
        <v>30</v>
      </c>
      <c r="L6" t="s">
        <v>194</v>
      </c>
      <c r="M6" t="s">
        <v>117</v>
      </c>
      <c r="N6" t="s">
        <v>78</v>
      </c>
      <c r="O6" t="s">
        <v>77</v>
      </c>
      <c r="P6" t="s">
        <v>195</v>
      </c>
      <c r="Q6" t="s">
        <v>80</v>
      </c>
      <c r="R6" t="s">
        <v>82</v>
      </c>
      <c r="S6" t="s">
        <v>82</v>
      </c>
      <c r="T6" t="s">
        <v>83</v>
      </c>
      <c r="U6" t="s">
        <v>85</v>
      </c>
      <c r="V6" t="s">
        <v>196</v>
      </c>
      <c r="W6">
        <v>65980</v>
      </c>
      <c r="X6" t="s">
        <v>197</v>
      </c>
      <c r="Y6" t="s">
        <v>73</v>
      </c>
      <c r="Z6" t="s">
        <v>85</v>
      </c>
      <c r="AA6" t="s">
        <v>85</v>
      </c>
      <c r="AB6" t="s">
        <v>198</v>
      </c>
      <c r="AC6" t="s">
        <v>88</v>
      </c>
      <c r="AD6" t="s">
        <v>88</v>
      </c>
      <c r="AE6" t="s">
        <v>84</v>
      </c>
      <c r="AF6" t="s">
        <v>89</v>
      </c>
      <c r="AG6" t="s">
        <v>89</v>
      </c>
      <c r="AH6" t="s">
        <v>199</v>
      </c>
      <c r="AI6" t="s">
        <v>89</v>
      </c>
      <c r="AJ6" t="s">
        <v>200</v>
      </c>
      <c r="AK6" t="s">
        <v>201</v>
      </c>
      <c r="AL6" t="s">
        <v>92</v>
      </c>
      <c r="AM6" t="s">
        <v>93</v>
      </c>
      <c r="AN6" t="s">
        <v>202</v>
      </c>
      <c r="AO6" t="s">
        <v>203</v>
      </c>
      <c r="AP6" t="s">
        <v>204</v>
      </c>
      <c r="AQ6" t="s">
        <v>205</v>
      </c>
      <c r="AR6">
        <v>94038.993333333332</v>
      </c>
      <c r="AS6">
        <v>2821169.8</v>
      </c>
      <c r="AT6">
        <v>629108.5</v>
      </c>
      <c r="AU6">
        <v>3450278</v>
      </c>
      <c r="AV6">
        <v>3700638.2</v>
      </c>
      <c r="AW6">
        <v>250359.9</v>
      </c>
      <c r="AX6">
        <v>0</v>
      </c>
      <c r="AY6" t="s">
        <v>85</v>
      </c>
      <c r="AZ6" t="s">
        <v>73</v>
      </c>
      <c r="BA6" t="s">
        <v>148</v>
      </c>
      <c r="BB6" t="s">
        <v>83</v>
      </c>
      <c r="BC6" t="s">
        <v>73</v>
      </c>
      <c r="BD6" t="s">
        <v>73</v>
      </c>
      <c r="BE6">
        <v>2014</v>
      </c>
      <c r="BF6">
        <v>2019</v>
      </c>
      <c r="BG6" t="s">
        <v>73</v>
      </c>
      <c r="BH6" t="s">
        <v>151</v>
      </c>
      <c r="BI6" t="s">
        <v>100</v>
      </c>
      <c r="BJ6">
        <v>42476</v>
      </c>
      <c r="BK6" t="s">
        <v>206</v>
      </c>
      <c r="BL6" t="s">
        <v>73</v>
      </c>
      <c r="BM6" t="s">
        <v>99</v>
      </c>
      <c r="BN6" t="s">
        <v>100</v>
      </c>
      <c r="BO6">
        <v>41404</v>
      </c>
      <c r="BP6" t="s">
        <v>207</v>
      </c>
      <c r="BQ6" t="s">
        <v>73</v>
      </c>
      <c r="BR6" t="s">
        <v>102</v>
      </c>
      <c r="BS6" t="s">
        <v>73</v>
      </c>
      <c r="BT6" t="s">
        <v>73</v>
      </c>
      <c r="BU6" t="s">
        <v>73</v>
      </c>
      <c r="BV6" t="s">
        <v>73</v>
      </c>
      <c r="BW6" t="s">
        <v>208</v>
      </c>
      <c r="BX6" t="s">
        <v>208</v>
      </c>
      <c r="BY6" t="s">
        <v>104</v>
      </c>
      <c r="BZ6" t="s">
        <v>127</v>
      </c>
      <c r="CA6" t="s">
        <v>209</v>
      </c>
      <c r="CB6" t="s">
        <v>1575</v>
      </c>
      <c r="CC6" t="s">
        <v>129</v>
      </c>
      <c r="CD6" t="s">
        <v>104</v>
      </c>
      <c r="CE6" t="s">
        <v>210</v>
      </c>
      <c r="CF6" t="s">
        <v>104</v>
      </c>
      <c r="CG6" s="5" t="s">
        <v>211</v>
      </c>
      <c r="CH6" t="s">
        <v>1588</v>
      </c>
      <c r="CI6" t="s">
        <v>212</v>
      </c>
      <c r="CJ6" t="s">
        <v>213</v>
      </c>
      <c r="CK6" t="s">
        <v>92</v>
      </c>
      <c r="CL6" t="s">
        <v>73</v>
      </c>
      <c r="CM6" t="s">
        <v>73</v>
      </c>
      <c r="CN6" t="s">
        <v>104</v>
      </c>
      <c r="CO6" t="s">
        <v>214</v>
      </c>
      <c r="CP6" t="s">
        <v>104</v>
      </c>
      <c r="CQ6" t="s">
        <v>215</v>
      </c>
      <c r="CR6" t="s">
        <v>1604</v>
      </c>
      <c r="CS6" t="s">
        <v>92</v>
      </c>
      <c r="CT6" t="s">
        <v>112</v>
      </c>
      <c r="CU6"/>
      <c r="CV6" t="s">
        <v>73</v>
      </c>
      <c r="CW6" t="s">
        <v>73</v>
      </c>
      <c r="CX6"/>
      <c r="CY6" t="s">
        <v>104</v>
      </c>
      <c r="CZ6" t="s">
        <v>216</v>
      </c>
    </row>
    <row r="7" spans="1:105" s="4" customFormat="1" ht="15" customHeight="1" x14ac:dyDescent="0.2">
      <c r="A7">
        <v>1329</v>
      </c>
      <c r="B7">
        <v>271</v>
      </c>
      <c r="C7" t="s">
        <v>70</v>
      </c>
      <c r="D7" t="s">
        <v>25</v>
      </c>
      <c r="E7" t="s">
        <v>193</v>
      </c>
      <c r="F7" t="s">
        <v>3</v>
      </c>
      <c r="G7">
        <v>2020</v>
      </c>
      <c r="H7">
        <v>28752</v>
      </c>
      <c r="I7" t="s">
        <v>73</v>
      </c>
      <c r="J7" t="s">
        <v>217</v>
      </c>
      <c r="K7">
        <v>30</v>
      </c>
      <c r="L7" t="s">
        <v>218</v>
      </c>
      <c r="M7" t="s">
        <v>117</v>
      </c>
      <c r="N7" t="s">
        <v>78</v>
      </c>
      <c r="O7" t="s">
        <v>77</v>
      </c>
      <c r="P7" t="s">
        <v>219</v>
      </c>
      <c r="Q7" t="s">
        <v>80</v>
      </c>
      <c r="R7" t="s">
        <v>82</v>
      </c>
      <c r="S7" t="s">
        <v>82</v>
      </c>
      <c r="T7" t="s">
        <v>83</v>
      </c>
      <c r="U7" t="s">
        <v>85</v>
      </c>
      <c r="V7" t="s">
        <v>73</v>
      </c>
      <c r="W7" t="s">
        <v>73</v>
      </c>
      <c r="X7" t="s">
        <v>73</v>
      </c>
      <c r="Y7" t="s">
        <v>73</v>
      </c>
      <c r="Z7" t="s">
        <v>84</v>
      </c>
      <c r="AA7" t="s">
        <v>85</v>
      </c>
      <c r="AB7" t="s">
        <v>220</v>
      </c>
      <c r="AC7" t="s">
        <v>88</v>
      </c>
      <c r="AD7" t="s">
        <v>88</v>
      </c>
      <c r="AE7" t="s">
        <v>73</v>
      </c>
      <c r="AF7" t="s">
        <v>89</v>
      </c>
      <c r="AG7" t="s">
        <v>89</v>
      </c>
      <c r="AH7" t="s">
        <v>199</v>
      </c>
      <c r="AI7" t="s">
        <v>89</v>
      </c>
      <c r="AJ7" t="s">
        <v>221</v>
      </c>
      <c r="AK7" t="s">
        <v>222</v>
      </c>
      <c r="AL7" t="s">
        <v>92</v>
      </c>
      <c r="AM7" t="s">
        <v>93</v>
      </c>
      <c r="AN7" t="s">
        <v>124</v>
      </c>
      <c r="AO7" t="s">
        <v>223</v>
      </c>
      <c r="AP7" t="s">
        <v>224</v>
      </c>
      <c r="AQ7" t="s">
        <v>224</v>
      </c>
      <c r="AR7">
        <v>53817.966666666667</v>
      </c>
      <c r="AS7">
        <v>1614539</v>
      </c>
      <c r="AT7">
        <v>409204.8</v>
      </c>
      <c r="AU7">
        <v>2023743.9</v>
      </c>
      <c r="AV7">
        <v>2153709.4</v>
      </c>
      <c r="AW7">
        <v>129965.5</v>
      </c>
      <c r="AX7">
        <v>0.10000000009313226</v>
      </c>
      <c r="AY7" t="s">
        <v>85</v>
      </c>
      <c r="AZ7" t="s">
        <v>73</v>
      </c>
      <c r="BA7" t="s">
        <v>225</v>
      </c>
      <c r="BB7" t="s">
        <v>226</v>
      </c>
      <c r="BC7" t="s">
        <v>227</v>
      </c>
      <c r="BD7" t="s">
        <v>83</v>
      </c>
      <c r="BE7">
        <v>2000</v>
      </c>
      <c r="BF7">
        <v>2011</v>
      </c>
      <c r="BG7" t="s">
        <v>228</v>
      </c>
      <c r="BH7" t="s">
        <v>99</v>
      </c>
      <c r="BI7" t="s">
        <v>100</v>
      </c>
      <c r="BJ7">
        <v>42002</v>
      </c>
      <c r="BK7" t="s">
        <v>229</v>
      </c>
      <c r="BL7">
        <v>43827</v>
      </c>
      <c r="BM7" t="s">
        <v>151</v>
      </c>
      <c r="BN7" t="s">
        <v>100</v>
      </c>
      <c r="BO7">
        <v>42002</v>
      </c>
      <c r="BP7" t="s">
        <v>229</v>
      </c>
      <c r="BQ7">
        <v>43827</v>
      </c>
      <c r="BR7" t="s">
        <v>102</v>
      </c>
      <c r="BS7" t="s">
        <v>73</v>
      </c>
      <c r="BT7" t="s">
        <v>73</v>
      </c>
      <c r="BU7" t="s">
        <v>73</v>
      </c>
      <c r="BV7" t="s">
        <v>73</v>
      </c>
      <c r="BW7" t="s">
        <v>230</v>
      </c>
      <c r="BX7" t="s">
        <v>230</v>
      </c>
      <c r="BY7" t="s">
        <v>104</v>
      </c>
      <c r="BZ7" t="s">
        <v>127</v>
      </c>
      <c r="CA7" t="s">
        <v>209</v>
      </c>
      <c r="CB7" t="s">
        <v>1575</v>
      </c>
      <c r="CC7" t="s">
        <v>129</v>
      </c>
      <c r="CD7" t="s">
        <v>104</v>
      </c>
      <c r="CE7" t="s">
        <v>210</v>
      </c>
      <c r="CF7" t="s">
        <v>104</v>
      </c>
      <c r="CG7" s="5" t="s">
        <v>231</v>
      </c>
      <c r="CH7" t="s">
        <v>1586</v>
      </c>
      <c r="CI7" t="s">
        <v>109</v>
      </c>
      <c r="CJ7" t="s">
        <v>232</v>
      </c>
      <c r="CK7" t="s">
        <v>73</v>
      </c>
      <c r="CL7" t="s">
        <v>73</v>
      </c>
      <c r="CM7" t="s">
        <v>73</v>
      </c>
      <c r="CN7" t="s">
        <v>92</v>
      </c>
      <c r="CO7" t="s">
        <v>73</v>
      </c>
      <c r="CP7" t="s">
        <v>104</v>
      </c>
      <c r="CQ7" t="s">
        <v>233</v>
      </c>
      <c r="CR7" t="s">
        <v>1602</v>
      </c>
      <c r="CS7" t="s">
        <v>92</v>
      </c>
      <c r="CT7" t="s">
        <v>112</v>
      </c>
      <c r="CU7"/>
      <c r="CV7" t="s">
        <v>92</v>
      </c>
      <c r="CW7" t="s">
        <v>112</v>
      </c>
      <c r="CX7"/>
      <c r="CY7" t="s">
        <v>92</v>
      </c>
      <c r="CZ7" t="s">
        <v>112</v>
      </c>
    </row>
    <row r="8" spans="1:105" s="4" customFormat="1" ht="15" customHeight="1" x14ac:dyDescent="0.2">
      <c r="A8">
        <v>1503</v>
      </c>
      <c r="B8">
        <v>272</v>
      </c>
      <c r="C8" t="s">
        <v>234</v>
      </c>
      <c r="D8" t="s">
        <v>235</v>
      </c>
      <c r="E8" t="s">
        <v>193</v>
      </c>
      <c r="F8" t="s">
        <v>3</v>
      </c>
      <c r="G8">
        <v>2020</v>
      </c>
      <c r="H8">
        <v>95300</v>
      </c>
      <c r="I8" t="s">
        <v>73</v>
      </c>
      <c r="J8" t="s">
        <v>217</v>
      </c>
      <c r="K8">
        <v>30</v>
      </c>
      <c r="L8" t="s">
        <v>236</v>
      </c>
      <c r="M8" t="s">
        <v>117</v>
      </c>
      <c r="N8" t="s">
        <v>77</v>
      </c>
      <c r="O8" t="s">
        <v>78</v>
      </c>
      <c r="P8" t="s">
        <v>237</v>
      </c>
      <c r="Q8" t="s">
        <v>80</v>
      </c>
      <c r="R8" t="s">
        <v>82</v>
      </c>
      <c r="S8" t="s">
        <v>82</v>
      </c>
      <c r="T8" t="s">
        <v>83</v>
      </c>
      <c r="U8" t="s">
        <v>85</v>
      </c>
      <c r="V8" t="s">
        <v>238</v>
      </c>
      <c r="W8">
        <v>95300</v>
      </c>
      <c r="X8" t="s">
        <v>197</v>
      </c>
      <c r="Y8" t="s">
        <v>73</v>
      </c>
      <c r="Z8" t="s">
        <v>85</v>
      </c>
      <c r="AA8" t="s">
        <v>85</v>
      </c>
      <c r="AB8" t="s">
        <v>239</v>
      </c>
      <c r="AC8" t="s">
        <v>88</v>
      </c>
      <c r="AD8" t="s">
        <v>88</v>
      </c>
      <c r="AE8" t="s">
        <v>73</v>
      </c>
      <c r="AF8" t="s">
        <v>89</v>
      </c>
      <c r="AG8" t="s">
        <v>89</v>
      </c>
      <c r="AH8" t="s">
        <v>89</v>
      </c>
      <c r="AI8" t="s">
        <v>89</v>
      </c>
      <c r="AJ8" t="s">
        <v>240</v>
      </c>
      <c r="AK8" t="s">
        <v>241</v>
      </c>
      <c r="AL8" t="s">
        <v>92</v>
      </c>
      <c r="AM8" t="s">
        <v>93</v>
      </c>
      <c r="AN8" t="s">
        <v>242</v>
      </c>
      <c r="AO8" t="s">
        <v>243</v>
      </c>
      <c r="AP8" t="s">
        <v>244</v>
      </c>
      <c r="AQ8"/>
      <c r="AR8"/>
      <c r="AS8">
        <v>12428700</v>
      </c>
      <c r="AT8">
        <v>11105009</v>
      </c>
      <c r="AU8">
        <v>13236898.100000001</v>
      </c>
      <c r="AV8">
        <v>1323704</v>
      </c>
      <c r="AW8">
        <v>808172</v>
      </c>
      <c r="AX8">
        <v>13.100000001490116</v>
      </c>
      <c r="AY8" t="s">
        <v>85</v>
      </c>
      <c r="AZ8">
        <v>39</v>
      </c>
      <c r="BA8" t="s">
        <v>245</v>
      </c>
      <c r="BB8" t="s">
        <v>246</v>
      </c>
      <c r="BC8" t="s">
        <v>247</v>
      </c>
      <c r="BD8" t="s">
        <v>248</v>
      </c>
      <c r="BE8">
        <v>2001</v>
      </c>
      <c r="BF8">
        <v>2011</v>
      </c>
      <c r="BG8" t="s">
        <v>249</v>
      </c>
      <c r="BH8" t="s">
        <v>99</v>
      </c>
      <c r="BI8" t="s">
        <v>100</v>
      </c>
      <c r="BJ8">
        <v>42655</v>
      </c>
      <c r="BK8" t="s">
        <v>250</v>
      </c>
      <c r="BL8">
        <v>44360</v>
      </c>
      <c r="BM8" t="s">
        <v>151</v>
      </c>
      <c r="BN8" t="s">
        <v>100</v>
      </c>
      <c r="BO8">
        <v>42535</v>
      </c>
      <c r="BP8" t="s">
        <v>251</v>
      </c>
      <c r="BQ8">
        <v>44360</v>
      </c>
      <c r="BR8" t="s">
        <v>102</v>
      </c>
      <c r="BS8" t="s">
        <v>73</v>
      </c>
      <c r="BT8" t="s">
        <v>73</v>
      </c>
      <c r="BU8" t="s">
        <v>73</v>
      </c>
      <c r="BV8" t="s">
        <v>73</v>
      </c>
      <c r="BW8" t="s">
        <v>252</v>
      </c>
      <c r="BX8" t="s">
        <v>252</v>
      </c>
      <c r="BY8" t="s">
        <v>104</v>
      </c>
      <c r="BZ8" t="s">
        <v>127</v>
      </c>
      <c r="CA8" t="s">
        <v>209</v>
      </c>
      <c r="CB8" t="s">
        <v>1575</v>
      </c>
      <c r="CC8" t="s">
        <v>129</v>
      </c>
      <c r="CD8" t="s">
        <v>104</v>
      </c>
      <c r="CE8" t="s">
        <v>210</v>
      </c>
      <c r="CF8" t="s">
        <v>104</v>
      </c>
      <c r="CG8" s="5" t="s">
        <v>253</v>
      </c>
      <c r="CH8" t="s">
        <v>1609</v>
      </c>
      <c r="CI8" t="s">
        <v>109</v>
      </c>
      <c r="CJ8" t="s">
        <v>254</v>
      </c>
      <c r="CK8" t="s">
        <v>104</v>
      </c>
      <c r="CL8" t="s">
        <v>255</v>
      </c>
      <c r="CM8" t="s">
        <v>1599</v>
      </c>
      <c r="CN8" t="s">
        <v>104</v>
      </c>
      <c r="CO8" t="s">
        <v>256</v>
      </c>
      <c r="CP8" t="s">
        <v>104</v>
      </c>
      <c r="CQ8" t="s">
        <v>257</v>
      </c>
      <c r="CR8" t="s">
        <v>1603</v>
      </c>
      <c r="CS8" t="s">
        <v>92</v>
      </c>
      <c r="CT8" t="s">
        <v>112</v>
      </c>
      <c r="CU8"/>
      <c r="CV8" t="s">
        <v>104</v>
      </c>
      <c r="CW8" t="s">
        <v>258</v>
      </c>
      <c r="CX8"/>
      <c r="CY8" t="s">
        <v>104</v>
      </c>
      <c r="CZ8" t="s">
        <v>259</v>
      </c>
    </row>
    <row r="9" spans="1:105" s="4" customFormat="1" ht="15" customHeight="1" x14ac:dyDescent="0.2">
      <c r="A9">
        <v>1113</v>
      </c>
      <c r="B9">
        <v>299</v>
      </c>
      <c r="C9" t="s">
        <v>70</v>
      </c>
      <c r="D9" t="s">
        <v>22</v>
      </c>
      <c r="E9" t="s">
        <v>193</v>
      </c>
      <c r="F9" t="s">
        <v>3</v>
      </c>
      <c r="G9">
        <v>2020</v>
      </c>
      <c r="H9">
        <v>28096</v>
      </c>
      <c r="I9" t="s">
        <v>73</v>
      </c>
      <c r="J9" t="s">
        <v>357</v>
      </c>
      <c r="K9">
        <v>10</v>
      </c>
      <c r="L9" t="s">
        <v>358</v>
      </c>
      <c r="M9" t="s">
        <v>78</v>
      </c>
      <c r="N9" t="s">
        <v>117</v>
      </c>
      <c r="O9" t="s">
        <v>73</v>
      </c>
      <c r="P9" t="s">
        <v>359</v>
      </c>
      <c r="Q9" t="s">
        <v>80</v>
      </c>
      <c r="R9" t="s">
        <v>82</v>
      </c>
      <c r="S9" t="s">
        <v>82</v>
      </c>
      <c r="T9" t="s">
        <v>83</v>
      </c>
      <c r="U9" t="s">
        <v>84</v>
      </c>
      <c r="V9" t="s">
        <v>83</v>
      </c>
      <c r="W9" t="s">
        <v>83</v>
      </c>
      <c r="X9" t="s">
        <v>83</v>
      </c>
      <c r="Y9" t="s">
        <v>83</v>
      </c>
      <c r="Z9" t="s">
        <v>84</v>
      </c>
      <c r="AA9" t="s">
        <v>85</v>
      </c>
      <c r="AB9" t="s">
        <v>360</v>
      </c>
      <c r="AC9" t="s">
        <v>174</v>
      </c>
      <c r="AD9" t="s">
        <v>174</v>
      </c>
      <c r="AE9" t="s">
        <v>84</v>
      </c>
      <c r="AF9" t="s">
        <v>89</v>
      </c>
      <c r="AG9" t="s">
        <v>89</v>
      </c>
      <c r="AH9" t="s">
        <v>89</v>
      </c>
      <c r="AI9" t="s">
        <v>89</v>
      </c>
      <c r="AJ9" t="s">
        <v>361</v>
      </c>
      <c r="AK9" t="s">
        <v>362</v>
      </c>
      <c r="AL9" t="s">
        <v>92</v>
      </c>
      <c r="AM9" t="s">
        <v>93</v>
      </c>
      <c r="AN9" t="s">
        <v>144</v>
      </c>
      <c r="AO9" t="s">
        <v>363</v>
      </c>
      <c r="AP9" t="s">
        <v>224</v>
      </c>
      <c r="AQ9" t="s">
        <v>364</v>
      </c>
      <c r="AR9">
        <v>153853.29999999999</v>
      </c>
      <c r="AS9">
        <v>1538533</v>
      </c>
      <c r="AT9">
        <v>212361</v>
      </c>
      <c r="AU9">
        <v>1750894</v>
      </c>
      <c r="AV9">
        <v>2123610</v>
      </c>
      <c r="AW9">
        <v>372716</v>
      </c>
      <c r="AX9">
        <v>0</v>
      </c>
      <c r="AY9" t="s">
        <v>85</v>
      </c>
      <c r="AZ9">
        <v>90.03</v>
      </c>
      <c r="BA9" t="s">
        <v>365</v>
      </c>
      <c r="BB9" t="s">
        <v>83</v>
      </c>
      <c r="BC9" t="s">
        <v>149</v>
      </c>
      <c r="BD9" t="s">
        <v>83</v>
      </c>
      <c r="BE9">
        <v>1999</v>
      </c>
      <c r="BF9">
        <v>2010</v>
      </c>
      <c r="BG9" t="s">
        <v>366</v>
      </c>
      <c r="BH9" t="s">
        <v>99</v>
      </c>
      <c r="BI9" t="s">
        <v>100</v>
      </c>
      <c r="BJ9">
        <v>41905</v>
      </c>
      <c r="BK9" t="s">
        <v>367</v>
      </c>
      <c r="BL9">
        <v>43657</v>
      </c>
      <c r="BM9" t="s">
        <v>151</v>
      </c>
      <c r="BN9" t="s">
        <v>180</v>
      </c>
      <c r="BO9">
        <v>41831</v>
      </c>
      <c r="BP9" t="s">
        <v>368</v>
      </c>
      <c r="BQ9">
        <v>43657</v>
      </c>
      <c r="BR9" t="s">
        <v>102</v>
      </c>
      <c r="BS9" t="s">
        <v>73</v>
      </c>
      <c r="BT9" t="s">
        <v>73</v>
      </c>
      <c r="BU9" t="s">
        <v>73</v>
      </c>
      <c r="BV9" t="s">
        <v>73</v>
      </c>
      <c r="BW9" t="s">
        <v>369</v>
      </c>
      <c r="BX9" t="s">
        <v>369</v>
      </c>
      <c r="BY9" t="s">
        <v>104</v>
      </c>
      <c r="BZ9" t="s">
        <v>105</v>
      </c>
      <c r="CA9" t="s">
        <v>370</v>
      </c>
      <c r="CB9" t="s">
        <v>1581</v>
      </c>
      <c r="CC9" t="s">
        <v>107</v>
      </c>
      <c r="CD9" t="s">
        <v>104</v>
      </c>
      <c r="CE9" t="s">
        <v>73</v>
      </c>
      <c r="CF9" t="s">
        <v>104</v>
      </c>
      <c r="CG9" s="5" t="s">
        <v>371</v>
      </c>
      <c r="CH9" t="s">
        <v>1586</v>
      </c>
      <c r="CI9" t="s">
        <v>372</v>
      </c>
      <c r="CJ9" t="s">
        <v>373</v>
      </c>
      <c r="CK9" t="s">
        <v>104</v>
      </c>
      <c r="CL9" t="s">
        <v>374</v>
      </c>
      <c r="CM9" t="s">
        <v>1600</v>
      </c>
      <c r="CN9" t="s">
        <v>104</v>
      </c>
      <c r="CO9" t="s">
        <v>375</v>
      </c>
      <c r="CP9" t="s">
        <v>104</v>
      </c>
      <c r="CQ9" t="s">
        <v>376</v>
      </c>
      <c r="CR9" t="s">
        <v>1602</v>
      </c>
      <c r="CS9" t="s">
        <v>104</v>
      </c>
      <c r="CT9" t="s">
        <v>377</v>
      </c>
      <c r="CU9"/>
      <c r="CV9" t="s">
        <v>92</v>
      </c>
      <c r="CW9" t="s">
        <v>112</v>
      </c>
      <c r="CX9"/>
      <c r="CY9" t="s">
        <v>104</v>
      </c>
      <c r="CZ9" t="s">
        <v>378</v>
      </c>
    </row>
    <row r="10" spans="1:105" s="4" customFormat="1" ht="15" customHeight="1" x14ac:dyDescent="0.2">
      <c r="A10">
        <v>1112</v>
      </c>
      <c r="B10">
        <v>300</v>
      </c>
      <c r="C10" t="s">
        <v>234</v>
      </c>
      <c r="D10" t="s">
        <v>21</v>
      </c>
      <c r="E10" t="s">
        <v>193</v>
      </c>
      <c r="F10" t="s">
        <v>3</v>
      </c>
      <c r="G10">
        <v>2020</v>
      </c>
      <c r="H10">
        <v>41976</v>
      </c>
      <c r="I10" t="s">
        <v>73</v>
      </c>
      <c r="J10" t="s">
        <v>357</v>
      </c>
      <c r="K10">
        <v>10</v>
      </c>
      <c r="L10" t="s">
        <v>379</v>
      </c>
      <c r="M10" t="s">
        <v>78</v>
      </c>
      <c r="N10" t="s">
        <v>117</v>
      </c>
      <c r="O10" t="s">
        <v>73</v>
      </c>
      <c r="P10" t="s">
        <v>359</v>
      </c>
      <c r="Q10" t="s">
        <v>80</v>
      </c>
      <c r="R10" t="s">
        <v>82</v>
      </c>
      <c r="S10" t="s">
        <v>82</v>
      </c>
      <c r="T10" t="s">
        <v>83</v>
      </c>
      <c r="U10" t="s">
        <v>84</v>
      </c>
      <c r="V10" t="s">
        <v>83</v>
      </c>
      <c r="W10" t="s">
        <v>83</v>
      </c>
      <c r="X10" t="s">
        <v>83</v>
      </c>
      <c r="Y10" t="s">
        <v>83</v>
      </c>
      <c r="Z10" t="s">
        <v>84</v>
      </c>
      <c r="AA10" t="s">
        <v>85</v>
      </c>
      <c r="AB10" t="s">
        <v>380</v>
      </c>
      <c r="AC10" t="s">
        <v>174</v>
      </c>
      <c r="AD10" t="s">
        <v>174</v>
      </c>
      <c r="AE10" t="s">
        <v>84</v>
      </c>
      <c r="AF10" t="s">
        <v>89</v>
      </c>
      <c r="AG10" t="s">
        <v>89</v>
      </c>
      <c r="AH10" t="s">
        <v>89</v>
      </c>
      <c r="AI10" t="s">
        <v>89</v>
      </c>
      <c r="AJ10" t="s">
        <v>381</v>
      </c>
      <c r="AK10" t="s">
        <v>382</v>
      </c>
      <c r="AL10" t="s">
        <v>92</v>
      </c>
      <c r="AM10" t="s">
        <v>93</v>
      </c>
      <c r="AN10" t="s">
        <v>144</v>
      </c>
      <c r="AO10" t="s">
        <v>363</v>
      </c>
      <c r="AP10" t="s">
        <v>383</v>
      </c>
      <c r="AQ10"/>
      <c r="AR10"/>
      <c r="AS10">
        <v>1201474</v>
      </c>
      <c r="AT10">
        <v>1201474</v>
      </c>
      <c r="AU10">
        <v>1645930</v>
      </c>
      <c r="AV10">
        <v>141293</v>
      </c>
      <c r="AW10">
        <v>279862</v>
      </c>
      <c r="AX10">
        <v>23301</v>
      </c>
      <c r="AY10" t="s">
        <v>85</v>
      </c>
      <c r="AZ10">
        <v>90</v>
      </c>
      <c r="BA10" t="s">
        <v>365</v>
      </c>
      <c r="BB10" t="s">
        <v>83</v>
      </c>
      <c r="BC10" t="s">
        <v>384</v>
      </c>
      <c r="BD10" t="s">
        <v>83</v>
      </c>
      <c r="BE10">
        <v>1999</v>
      </c>
      <c r="BF10">
        <v>2010</v>
      </c>
      <c r="BG10" t="s">
        <v>98</v>
      </c>
      <c r="BH10" t="s">
        <v>99</v>
      </c>
      <c r="BI10" t="s">
        <v>100</v>
      </c>
      <c r="BJ10">
        <v>41774</v>
      </c>
      <c r="BK10" t="s">
        <v>385</v>
      </c>
      <c r="BL10" t="s">
        <v>73</v>
      </c>
      <c r="BM10" t="s">
        <v>151</v>
      </c>
      <c r="BN10" t="s">
        <v>386</v>
      </c>
      <c r="BO10" t="s">
        <v>73</v>
      </c>
      <c r="BP10" t="s">
        <v>387</v>
      </c>
      <c r="BQ10" t="s">
        <v>73</v>
      </c>
      <c r="BR10" t="s">
        <v>102</v>
      </c>
      <c r="BS10" t="s">
        <v>73</v>
      </c>
      <c r="BT10" t="s">
        <v>73</v>
      </c>
      <c r="BU10" t="s">
        <v>73</v>
      </c>
      <c r="BV10" t="s">
        <v>73</v>
      </c>
      <c r="BW10" t="s">
        <v>388</v>
      </c>
      <c r="BX10" t="s">
        <v>388</v>
      </c>
      <c r="BY10" t="s">
        <v>104</v>
      </c>
      <c r="BZ10" t="s">
        <v>105</v>
      </c>
      <c r="CA10" t="s">
        <v>389</v>
      </c>
      <c r="CB10" t="s">
        <v>1581</v>
      </c>
      <c r="CC10" t="s">
        <v>107</v>
      </c>
      <c r="CD10" t="s">
        <v>104</v>
      </c>
      <c r="CE10" t="s">
        <v>73</v>
      </c>
      <c r="CF10" t="s">
        <v>104</v>
      </c>
      <c r="CG10" s="5" t="s">
        <v>390</v>
      </c>
      <c r="CH10" t="s">
        <v>1586</v>
      </c>
      <c r="CI10" t="s">
        <v>391</v>
      </c>
      <c r="CJ10" t="s">
        <v>392</v>
      </c>
      <c r="CK10" t="s">
        <v>104</v>
      </c>
      <c r="CL10" t="s">
        <v>393</v>
      </c>
      <c r="CM10" t="s">
        <v>1600</v>
      </c>
      <c r="CN10" t="s">
        <v>104</v>
      </c>
      <c r="CO10" t="s">
        <v>375</v>
      </c>
      <c r="CP10" t="s">
        <v>104</v>
      </c>
      <c r="CQ10" t="s">
        <v>394</v>
      </c>
      <c r="CR10" t="s">
        <v>1603</v>
      </c>
      <c r="CS10" t="s">
        <v>104</v>
      </c>
      <c r="CT10" t="s">
        <v>395</v>
      </c>
      <c r="CU10"/>
      <c r="CV10" t="s">
        <v>73</v>
      </c>
      <c r="CW10" t="s">
        <v>73</v>
      </c>
      <c r="CX10"/>
      <c r="CY10" t="s">
        <v>73</v>
      </c>
      <c r="CZ10" t="s">
        <v>73</v>
      </c>
    </row>
    <row r="11" spans="1:105" s="4" customFormat="1" ht="46" customHeight="1" x14ac:dyDescent="0.2">
      <c r="A11">
        <v>1654</v>
      </c>
      <c r="B11">
        <v>813</v>
      </c>
      <c r="C11" t="s">
        <v>234</v>
      </c>
      <c r="D11" t="s">
        <v>28</v>
      </c>
      <c r="E11" t="s">
        <v>193</v>
      </c>
      <c r="F11" t="s">
        <v>3</v>
      </c>
      <c r="G11">
        <v>2020</v>
      </c>
      <c r="H11">
        <v>47059</v>
      </c>
      <c r="I11" t="s">
        <v>73</v>
      </c>
      <c r="J11" t="s">
        <v>396</v>
      </c>
      <c r="K11">
        <v>30</v>
      </c>
      <c r="L11" t="s">
        <v>397</v>
      </c>
      <c r="M11" t="s">
        <v>78</v>
      </c>
      <c r="N11" t="s">
        <v>117</v>
      </c>
      <c r="O11" t="s">
        <v>398</v>
      </c>
      <c r="P11" t="s">
        <v>219</v>
      </c>
      <c r="Q11" t="s">
        <v>80</v>
      </c>
      <c r="R11" t="s">
        <v>82</v>
      </c>
      <c r="S11" t="s">
        <v>82</v>
      </c>
      <c r="T11" t="s">
        <v>83</v>
      </c>
      <c r="U11" t="s">
        <v>84</v>
      </c>
      <c r="V11" t="s">
        <v>83</v>
      </c>
      <c r="W11" t="s">
        <v>83</v>
      </c>
      <c r="X11" t="s">
        <v>83</v>
      </c>
      <c r="Y11" t="s">
        <v>83</v>
      </c>
      <c r="Z11" t="s">
        <v>73</v>
      </c>
      <c r="AA11" t="s">
        <v>85</v>
      </c>
      <c r="AB11" t="s">
        <v>399</v>
      </c>
      <c r="AC11" t="s">
        <v>88</v>
      </c>
      <c r="AD11" t="s">
        <v>88</v>
      </c>
      <c r="AE11" t="s">
        <v>85</v>
      </c>
      <c r="AF11" t="s">
        <v>89</v>
      </c>
      <c r="AG11" t="s">
        <v>89</v>
      </c>
      <c r="AH11" t="s">
        <v>89</v>
      </c>
      <c r="AI11" t="s">
        <v>89</v>
      </c>
      <c r="AJ11" t="s">
        <v>400</v>
      </c>
      <c r="AK11" t="s">
        <v>401</v>
      </c>
      <c r="AL11" t="s">
        <v>92</v>
      </c>
      <c r="AM11" t="s">
        <v>93</v>
      </c>
      <c r="AN11" t="s">
        <v>402</v>
      </c>
      <c r="AO11" t="s">
        <v>403</v>
      </c>
      <c r="AP11" t="s">
        <v>404</v>
      </c>
      <c r="AQ11"/>
      <c r="AR11"/>
      <c r="AS11">
        <v>720470</v>
      </c>
      <c r="AT11">
        <v>720470</v>
      </c>
      <c r="AU11">
        <v>912425</v>
      </c>
      <c r="AV11">
        <v>141344</v>
      </c>
      <c r="AW11">
        <v>50612</v>
      </c>
      <c r="AX11">
        <v>-1</v>
      </c>
      <c r="AY11" t="s">
        <v>85</v>
      </c>
      <c r="AZ11" t="s">
        <v>73</v>
      </c>
      <c r="BA11" t="s">
        <v>405</v>
      </c>
      <c r="BB11" t="s">
        <v>406</v>
      </c>
      <c r="BC11" t="s">
        <v>149</v>
      </c>
      <c r="BD11" t="s">
        <v>83</v>
      </c>
      <c r="BE11">
        <v>2003</v>
      </c>
      <c r="BF11">
        <v>2013</v>
      </c>
      <c r="BG11" t="s">
        <v>407</v>
      </c>
      <c r="BH11" t="s">
        <v>99</v>
      </c>
      <c r="BI11" t="s">
        <v>100</v>
      </c>
      <c r="BJ11">
        <v>43554</v>
      </c>
      <c r="BK11" t="s">
        <v>408</v>
      </c>
      <c r="BL11" t="s">
        <v>73</v>
      </c>
      <c r="BM11" t="s">
        <v>151</v>
      </c>
      <c r="BN11" t="s">
        <v>409</v>
      </c>
      <c r="BO11" t="s">
        <v>73</v>
      </c>
      <c r="BP11" t="s">
        <v>410</v>
      </c>
      <c r="BQ11" t="s">
        <v>73</v>
      </c>
      <c r="BR11" t="s">
        <v>102</v>
      </c>
      <c r="BS11" t="s">
        <v>73</v>
      </c>
      <c r="BT11" t="s">
        <v>73</v>
      </c>
      <c r="BU11" t="s">
        <v>73</v>
      </c>
      <c r="BV11" t="s">
        <v>73</v>
      </c>
      <c r="BW11" t="s">
        <v>411</v>
      </c>
      <c r="BX11" t="s">
        <v>411</v>
      </c>
      <c r="BY11" t="s">
        <v>104</v>
      </c>
      <c r="BZ11" t="s">
        <v>127</v>
      </c>
      <c r="CA11" t="s">
        <v>209</v>
      </c>
      <c r="CB11" t="s">
        <v>1575</v>
      </c>
      <c r="CC11" t="s">
        <v>129</v>
      </c>
      <c r="CD11" t="s">
        <v>104</v>
      </c>
      <c r="CE11" t="s">
        <v>73</v>
      </c>
      <c r="CF11" t="s">
        <v>104</v>
      </c>
      <c r="CG11" s="5" t="s">
        <v>412</v>
      </c>
      <c r="CH11" t="s">
        <v>1586</v>
      </c>
      <c r="CI11" t="s">
        <v>413</v>
      </c>
      <c r="CJ11" t="s">
        <v>414</v>
      </c>
      <c r="CK11" t="s">
        <v>92</v>
      </c>
      <c r="CL11" t="s">
        <v>73</v>
      </c>
      <c r="CM11" t="s">
        <v>73</v>
      </c>
      <c r="CN11" t="s">
        <v>104</v>
      </c>
      <c r="CO11" t="s">
        <v>415</v>
      </c>
      <c r="CP11" t="s">
        <v>92</v>
      </c>
      <c r="CQ11" t="s">
        <v>112</v>
      </c>
      <c r="CR11"/>
      <c r="CS11" t="s">
        <v>104</v>
      </c>
      <c r="CT11" t="s">
        <v>416</v>
      </c>
      <c r="CU11"/>
      <c r="CV11" t="s">
        <v>92</v>
      </c>
      <c r="CW11" t="s">
        <v>112</v>
      </c>
      <c r="CX11"/>
      <c r="CY11" t="s">
        <v>104</v>
      </c>
      <c r="CZ11" t="s">
        <v>417</v>
      </c>
    </row>
    <row r="12" spans="1:105" s="4" customFormat="1" ht="60" customHeight="1" x14ac:dyDescent="0.2">
      <c r="A12">
        <v>1571</v>
      </c>
      <c r="B12">
        <v>819</v>
      </c>
      <c r="C12" t="s">
        <v>70</v>
      </c>
      <c r="D12" t="s">
        <v>27</v>
      </c>
      <c r="E12" t="s">
        <v>27</v>
      </c>
      <c r="F12" t="s">
        <v>3</v>
      </c>
      <c r="G12">
        <v>2020</v>
      </c>
      <c r="H12">
        <v>74038</v>
      </c>
      <c r="I12" t="s">
        <v>73</v>
      </c>
      <c r="J12" t="s">
        <v>217</v>
      </c>
      <c r="K12">
        <v>30</v>
      </c>
      <c r="L12" t="s">
        <v>418</v>
      </c>
      <c r="M12" t="s">
        <v>117</v>
      </c>
      <c r="N12" t="s">
        <v>78</v>
      </c>
      <c r="O12" t="s">
        <v>77</v>
      </c>
      <c r="P12" t="s">
        <v>419</v>
      </c>
      <c r="Q12" t="s">
        <v>80</v>
      </c>
      <c r="R12" t="s">
        <v>82</v>
      </c>
      <c r="S12" t="s">
        <v>82</v>
      </c>
      <c r="T12" t="s">
        <v>83</v>
      </c>
      <c r="U12" t="s">
        <v>85</v>
      </c>
      <c r="V12" t="s">
        <v>420</v>
      </c>
      <c r="W12">
        <v>72843</v>
      </c>
      <c r="X12" t="s">
        <v>421</v>
      </c>
      <c r="Y12" t="s">
        <v>73</v>
      </c>
      <c r="Z12" t="s">
        <v>85</v>
      </c>
      <c r="AA12" t="s">
        <v>85</v>
      </c>
      <c r="AB12" t="s">
        <v>422</v>
      </c>
      <c r="AC12" t="s">
        <v>88</v>
      </c>
      <c r="AD12" t="s">
        <v>88</v>
      </c>
      <c r="AE12" t="s">
        <v>85</v>
      </c>
      <c r="AF12" t="s">
        <v>89</v>
      </c>
      <c r="AG12" t="s">
        <v>89</v>
      </c>
      <c r="AH12" t="s">
        <v>89</v>
      </c>
      <c r="AI12" t="s">
        <v>89</v>
      </c>
      <c r="AJ12" t="s">
        <v>423</v>
      </c>
      <c r="AK12" t="s">
        <v>424</v>
      </c>
      <c r="AL12" t="s">
        <v>92</v>
      </c>
      <c r="AM12" t="s">
        <v>93</v>
      </c>
      <c r="AN12" t="s">
        <v>242</v>
      </c>
      <c r="AO12" t="s">
        <v>425</v>
      </c>
      <c r="AP12" t="s">
        <v>426</v>
      </c>
      <c r="AQ12" t="s">
        <v>426</v>
      </c>
      <c r="AR12">
        <v>248597.56666666668</v>
      </c>
      <c r="AS12">
        <v>7457927</v>
      </c>
      <c r="AT12">
        <v>920770</v>
      </c>
      <c r="AU12">
        <v>8378697</v>
      </c>
      <c r="AV12">
        <v>9207866</v>
      </c>
      <c r="AW12">
        <v>829132</v>
      </c>
      <c r="AX12">
        <v>37</v>
      </c>
      <c r="AY12" t="s">
        <v>85</v>
      </c>
      <c r="AZ12" t="s">
        <v>73</v>
      </c>
      <c r="BA12" t="s">
        <v>148</v>
      </c>
      <c r="BB12" t="s">
        <v>83</v>
      </c>
      <c r="BC12" t="s">
        <v>227</v>
      </c>
      <c r="BD12" t="s">
        <v>83</v>
      </c>
      <c r="BE12">
        <v>2000</v>
      </c>
      <c r="BF12">
        <v>2012</v>
      </c>
      <c r="BG12" t="s">
        <v>407</v>
      </c>
      <c r="BH12" t="s">
        <v>99</v>
      </c>
      <c r="BI12" t="s">
        <v>100</v>
      </c>
      <c r="BJ12">
        <v>42980</v>
      </c>
      <c r="BK12" t="s">
        <v>427</v>
      </c>
      <c r="BL12">
        <v>44805</v>
      </c>
      <c r="BM12" t="s">
        <v>151</v>
      </c>
      <c r="BN12" t="s">
        <v>100</v>
      </c>
      <c r="BO12">
        <v>42980</v>
      </c>
      <c r="BP12" t="s">
        <v>428</v>
      </c>
      <c r="BQ12">
        <v>44805</v>
      </c>
      <c r="BR12" t="s">
        <v>429</v>
      </c>
      <c r="BS12" t="s">
        <v>100</v>
      </c>
      <c r="BT12">
        <v>38716</v>
      </c>
      <c r="BU12" t="s">
        <v>430</v>
      </c>
      <c r="BV12" t="s">
        <v>73</v>
      </c>
      <c r="BW12" t="s">
        <v>431</v>
      </c>
      <c r="BX12" t="s">
        <v>431</v>
      </c>
      <c r="BY12" t="s">
        <v>104</v>
      </c>
      <c r="BZ12" t="s">
        <v>127</v>
      </c>
      <c r="CA12" t="s">
        <v>209</v>
      </c>
      <c r="CB12" t="s">
        <v>1575</v>
      </c>
      <c r="CC12" t="s">
        <v>129</v>
      </c>
      <c r="CD12" t="s">
        <v>104</v>
      </c>
      <c r="CE12" t="s">
        <v>210</v>
      </c>
      <c r="CF12" t="s">
        <v>104</v>
      </c>
      <c r="CG12" s="5" t="s">
        <v>432</v>
      </c>
      <c r="CH12" t="s">
        <v>1586</v>
      </c>
      <c r="CI12" t="s">
        <v>433</v>
      </c>
      <c r="CJ12" t="s">
        <v>434</v>
      </c>
      <c r="CK12" t="s">
        <v>92</v>
      </c>
      <c r="CL12" t="s">
        <v>73</v>
      </c>
      <c r="CM12" t="s">
        <v>73</v>
      </c>
      <c r="CN12" t="s">
        <v>104</v>
      </c>
      <c r="CO12" t="s">
        <v>435</v>
      </c>
      <c r="CP12" t="s">
        <v>104</v>
      </c>
      <c r="CQ12" t="s">
        <v>436</v>
      </c>
      <c r="CR12"/>
      <c r="CS12" t="s">
        <v>104</v>
      </c>
      <c r="CT12" t="s">
        <v>437</v>
      </c>
      <c r="CU12"/>
      <c r="CV12" t="s">
        <v>92</v>
      </c>
      <c r="CW12" t="s">
        <v>112</v>
      </c>
      <c r="CX12"/>
      <c r="CY12" t="s">
        <v>104</v>
      </c>
      <c r="CZ12" t="s">
        <v>438</v>
      </c>
    </row>
    <row r="13" spans="1:105" s="4" customFormat="1" ht="15" customHeight="1" x14ac:dyDescent="0.2">
      <c r="A13">
        <v>1686</v>
      </c>
      <c r="B13">
        <v>841</v>
      </c>
      <c r="C13" t="s">
        <v>234</v>
      </c>
      <c r="D13" t="s">
        <v>29</v>
      </c>
      <c r="E13" t="s">
        <v>193</v>
      </c>
      <c r="F13" t="s">
        <v>3</v>
      </c>
      <c r="G13">
        <v>2020</v>
      </c>
      <c r="H13">
        <v>190210</v>
      </c>
      <c r="I13" t="s">
        <v>73</v>
      </c>
      <c r="J13" t="s">
        <v>439</v>
      </c>
      <c r="K13">
        <v>30</v>
      </c>
      <c r="L13" t="s">
        <v>440</v>
      </c>
      <c r="M13" t="s">
        <v>78</v>
      </c>
      <c r="N13" t="s">
        <v>117</v>
      </c>
      <c r="O13" t="s">
        <v>77</v>
      </c>
      <c r="P13" t="s">
        <v>441</v>
      </c>
      <c r="Q13" t="s">
        <v>80</v>
      </c>
      <c r="R13" t="s">
        <v>82</v>
      </c>
      <c r="S13" t="s">
        <v>82</v>
      </c>
      <c r="T13" t="s">
        <v>83</v>
      </c>
      <c r="U13" t="s">
        <v>73</v>
      </c>
      <c r="V13" t="s">
        <v>83</v>
      </c>
      <c r="W13" t="s">
        <v>83</v>
      </c>
      <c r="X13" t="s">
        <v>83</v>
      </c>
      <c r="Y13" t="s">
        <v>83</v>
      </c>
      <c r="Z13" t="s">
        <v>84</v>
      </c>
      <c r="AA13" t="s">
        <v>85</v>
      </c>
      <c r="AB13" t="s">
        <v>442</v>
      </c>
      <c r="AC13" t="s">
        <v>443</v>
      </c>
      <c r="AD13" t="s">
        <v>443</v>
      </c>
      <c r="AE13" t="s">
        <v>73</v>
      </c>
      <c r="AF13" t="s">
        <v>89</v>
      </c>
      <c r="AG13" t="s">
        <v>89</v>
      </c>
      <c r="AH13" t="s">
        <v>89</v>
      </c>
      <c r="AI13" t="s">
        <v>89</v>
      </c>
      <c r="AJ13" t="s">
        <v>444</v>
      </c>
      <c r="AK13" t="s">
        <v>445</v>
      </c>
      <c r="AL13" t="s">
        <v>104</v>
      </c>
      <c r="AM13" t="s">
        <v>93</v>
      </c>
      <c r="AN13" t="s">
        <v>446</v>
      </c>
      <c r="AO13" t="s">
        <v>447</v>
      </c>
      <c r="AP13" t="s">
        <v>448</v>
      </c>
      <c r="AQ13"/>
      <c r="AR13"/>
      <c r="AS13">
        <v>14507808</v>
      </c>
      <c r="AT13">
        <v>12196848</v>
      </c>
      <c r="AU13">
        <v>15406299</v>
      </c>
      <c r="AV13">
        <v>2310945</v>
      </c>
      <c r="AW13">
        <v>898491</v>
      </c>
      <c r="AX13">
        <v>15</v>
      </c>
      <c r="AY13" t="s">
        <v>85</v>
      </c>
      <c r="AZ13">
        <v>69</v>
      </c>
      <c r="BA13" t="s">
        <v>225</v>
      </c>
      <c r="BB13" t="s">
        <v>449</v>
      </c>
      <c r="BC13" t="s">
        <v>247</v>
      </c>
      <c r="BD13" t="s">
        <v>248</v>
      </c>
      <c r="BE13" t="s">
        <v>73</v>
      </c>
      <c r="BF13" t="s">
        <v>73</v>
      </c>
      <c r="BG13" t="s">
        <v>98</v>
      </c>
      <c r="BH13" t="s">
        <v>99</v>
      </c>
      <c r="BI13" t="s">
        <v>100</v>
      </c>
      <c r="BJ13">
        <v>43174</v>
      </c>
      <c r="BK13" t="s">
        <v>450</v>
      </c>
      <c r="BL13" t="s">
        <v>73</v>
      </c>
      <c r="BM13" t="s">
        <v>102</v>
      </c>
      <c r="BN13" t="s">
        <v>73</v>
      </c>
      <c r="BO13" t="s">
        <v>73</v>
      </c>
      <c r="BP13" t="s">
        <v>73</v>
      </c>
      <c r="BQ13" t="s">
        <v>73</v>
      </c>
      <c r="BR13" t="s">
        <v>102</v>
      </c>
      <c r="BS13" t="s">
        <v>73</v>
      </c>
      <c r="BT13" t="s">
        <v>73</v>
      </c>
      <c r="BU13" t="s">
        <v>73</v>
      </c>
      <c r="BV13" t="s">
        <v>73</v>
      </c>
      <c r="BW13" t="s">
        <v>451</v>
      </c>
      <c r="BX13" t="s">
        <v>451</v>
      </c>
      <c r="BY13" t="s">
        <v>104</v>
      </c>
      <c r="BZ13" t="s">
        <v>127</v>
      </c>
      <c r="CA13" t="s">
        <v>209</v>
      </c>
      <c r="CB13" t="s">
        <v>1575</v>
      </c>
      <c r="CC13" t="s">
        <v>129</v>
      </c>
      <c r="CD13" t="s">
        <v>104</v>
      </c>
      <c r="CE13" t="s">
        <v>452</v>
      </c>
      <c r="CF13" t="s">
        <v>104</v>
      </c>
      <c r="CG13" s="5" t="s">
        <v>453</v>
      </c>
      <c r="CH13" t="s">
        <v>1586</v>
      </c>
      <c r="CI13" t="s">
        <v>73</v>
      </c>
      <c r="CJ13" t="s">
        <v>73</v>
      </c>
      <c r="CK13" t="s">
        <v>104</v>
      </c>
      <c r="CL13" t="s">
        <v>454</v>
      </c>
      <c r="CM13" t="s">
        <v>1599</v>
      </c>
      <c r="CN13" t="s">
        <v>104</v>
      </c>
      <c r="CO13" t="s">
        <v>455</v>
      </c>
      <c r="CP13" t="s">
        <v>104</v>
      </c>
      <c r="CQ13" t="s">
        <v>456</v>
      </c>
      <c r="CR13"/>
      <c r="CS13" t="s">
        <v>104</v>
      </c>
      <c r="CT13" t="s">
        <v>457</v>
      </c>
      <c r="CU13"/>
      <c r="CV13" t="s">
        <v>92</v>
      </c>
      <c r="CW13" t="s">
        <v>112</v>
      </c>
      <c r="CX13"/>
      <c r="CY13" t="s">
        <v>104</v>
      </c>
      <c r="CZ13" t="s">
        <v>458</v>
      </c>
    </row>
    <row r="14" spans="1:105" s="4" customFormat="1" ht="15" customHeight="1" x14ac:dyDescent="0.2">
      <c r="A14">
        <v>2252</v>
      </c>
      <c r="B14">
        <v>853</v>
      </c>
      <c r="C14" t="s">
        <v>234</v>
      </c>
      <c r="D14" t="s">
        <v>30</v>
      </c>
      <c r="E14" t="s">
        <v>193</v>
      </c>
      <c r="F14" t="s">
        <v>3</v>
      </c>
      <c r="G14">
        <v>2020</v>
      </c>
      <c r="H14">
        <v>165707</v>
      </c>
      <c r="I14" t="s">
        <v>73</v>
      </c>
      <c r="J14" t="s">
        <v>459</v>
      </c>
      <c r="K14">
        <v>40</v>
      </c>
      <c r="L14" t="s">
        <v>460</v>
      </c>
      <c r="M14" t="s">
        <v>461</v>
      </c>
      <c r="N14" t="s">
        <v>77</v>
      </c>
      <c r="O14" t="s">
        <v>117</v>
      </c>
      <c r="P14" t="s">
        <v>462</v>
      </c>
      <c r="Q14" t="s">
        <v>80</v>
      </c>
      <c r="R14" t="s">
        <v>82</v>
      </c>
      <c r="S14" t="s">
        <v>82</v>
      </c>
      <c r="T14" t="s">
        <v>83</v>
      </c>
      <c r="U14" t="s">
        <v>84</v>
      </c>
      <c r="V14" t="s">
        <v>83</v>
      </c>
      <c r="W14" t="s">
        <v>83</v>
      </c>
      <c r="X14" t="s">
        <v>83</v>
      </c>
      <c r="Y14" t="s">
        <v>83</v>
      </c>
      <c r="Z14" t="s">
        <v>84</v>
      </c>
      <c r="AA14" t="s">
        <v>85</v>
      </c>
      <c r="AB14" t="s">
        <v>463</v>
      </c>
      <c r="AC14" t="s">
        <v>174</v>
      </c>
      <c r="AD14" t="s">
        <v>174</v>
      </c>
      <c r="AE14" t="s">
        <v>84</v>
      </c>
      <c r="AF14" t="s">
        <v>89</v>
      </c>
      <c r="AG14" t="s">
        <v>73</v>
      </c>
      <c r="AH14" t="s">
        <v>89</v>
      </c>
      <c r="AI14" t="s">
        <v>89</v>
      </c>
      <c r="AJ14" t="s">
        <v>464</v>
      </c>
      <c r="AK14" t="s">
        <v>465</v>
      </c>
      <c r="AL14" t="s">
        <v>104</v>
      </c>
      <c r="AM14" t="s">
        <v>93</v>
      </c>
      <c r="AN14" t="s">
        <v>466</v>
      </c>
      <c r="AO14" t="s">
        <v>467</v>
      </c>
      <c r="AP14" t="s">
        <v>468</v>
      </c>
      <c r="AQ14"/>
      <c r="AR14"/>
      <c r="AS14">
        <v>40154304</v>
      </c>
      <c r="AT14">
        <v>38684048</v>
      </c>
      <c r="AU14">
        <v>39489204</v>
      </c>
      <c r="AV14">
        <v>801787</v>
      </c>
      <c r="AW14">
        <v>3369</v>
      </c>
      <c r="AX14">
        <v>0</v>
      </c>
      <c r="AY14" t="s">
        <v>85</v>
      </c>
      <c r="AZ14">
        <v>10</v>
      </c>
      <c r="BA14" t="s">
        <v>469</v>
      </c>
      <c r="BB14" t="s">
        <v>83</v>
      </c>
      <c r="BC14" t="s">
        <v>247</v>
      </c>
      <c r="BD14" t="s">
        <v>248</v>
      </c>
      <c r="BE14">
        <v>1996</v>
      </c>
      <c r="BF14">
        <v>2008</v>
      </c>
      <c r="BG14" t="s">
        <v>470</v>
      </c>
      <c r="BH14" t="s">
        <v>99</v>
      </c>
      <c r="BI14" t="s">
        <v>409</v>
      </c>
      <c r="BJ14" t="s">
        <v>73</v>
      </c>
      <c r="BK14" t="s">
        <v>471</v>
      </c>
      <c r="BL14" t="s">
        <v>73</v>
      </c>
      <c r="BM14" t="s">
        <v>151</v>
      </c>
      <c r="BN14" t="s">
        <v>409</v>
      </c>
      <c r="BO14" t="s">
        <v>73</v>
      </c>
      <c r="BP14" t="s">
        <v>471</v>
      </c>
      <c r="BQ14" t="s">
        <v>73</v>
      </c>
      <c r="BR14" t="s">
        <v>102</v>
      </c>
      <c r="BS14" t="s">
        <v>73</v>
      </c>
      <c r="BT14" t="s">
        <v>73</v>
      </c>
      <c r="BU14" t="s">
        <v>73</v>
      </c>
      <c r="BV14" t="s">
        <v>73</v>
      </c>
      <c r="BW14" t="s">
        <v>472</v>
      </c>
      <c r="BX14" t="s">
        <v>472</v>
      </c>
      <c r="BY14" t="s">
        <v>104</v>
      </c>
      <c r="BZ14" t="s">
        <v>127</v>
      </c>
      <c r="CA14" t="s">
        <v>209</v>
      </c>
      <c r="CB14" t="s">
        <v>1575</v>
      </c>
      <c r="CC14" t="s">
        <v>129</v>
      </c>
      <c r="CD14" t="s">
        <v>104</v>
      </c>
      <c r="CE14" t="s">
        <v>473</v>
      </c>
      <c r="CF14" t="s">
        <v>104</v>
      </c>
      <c r="CG14" s="5" t="s">
        <v>474</v>
      </c>
      <c r="CH14" t="s">
        <v>1609</v>
      </c>
      <c r="CI14" t="s">
        <v>475</v>
      </c>
      <c r="CJ14" t="s">
        <v>73</v>
      </c>
      <c r="CK14" t="s">
        <v>104</v>
      </c>
      <c r="CL14" t="s">
        <v>476</v>
      </c>
      <c r="CM14" t="s">
        <v>1600</v>
      </c>
      <c r="CN14" t="s">
        <v>104</v>
      </c>
      <c r="CO14" t="s">
        <v>477</v>
      </c>
      <c r="CP14" t="s">
        <v>104</v>
      </c>
      <c r="CQ14" t="s">
        <v>478</v>
      </c>
      <c r="CR14"/>
      <c r="CS14" t="s">
        <v>92</v>
      </c>
      <c r="CT14" t="s">
        <v>112</v>
      </c>
      <c r="CU14"/>
      <c r="CV14" t="s">
        <v>92</v>
      </c>
      <c r="CW14" t="s">
        <v>112</v>
      </c>
      <c r="CX14"/>
      <c r="CY14" t="s">
        <v>104</v>
      </c>
      <c r="CZ14" t="s">
        <v>479</v>
      </c>
    </row>
    <row r="15" spans="1:105" s="4" customFormat="1" ht="15" customHeight="1" x14ac:dyDescent="0.2">
      <c r="A15">
        <v>2373</v>
      </c>
      <c r="B15">
        <v>893</v>
      </c>
      <c r="C15" t="s">
        <v>70</v>
      </c>
      <c r="D15" t="s">
        <v>480</v>
      </c>
      <c r="E15"/>
      <c r="F15" t="s">
        <v>3</v>
      </c>
      <c r="G15">
        <v>2022</v>
      </c>
      <c r="H15">
        <v>86091.6</v>
      </c>
      <c r="I15" t="s">
        <v>73</v>
      </c>
      <c r="J15">
        <v>2050</v>
      </c>
      <c r="K15">
        <v>30</v>
      </c>
      <c r="L15" t="s">
        <v>481</v>
      </c>
      <c r="M15" t="s">
        <v>117</v>
      </c>
      <c r="N15" t="s">
        <v>77</v>
      </c>
      <c r="O15" t="s">
        <v>78</v>
      </c>
      <c r="P15" t="s">
        <v>482</v>
      </c>
      <c r="Q15" t="s">
        <v>80</v>
      </c>
      <c r="R15" t="s">
        <v>483</v>
      </c>
      <c r="S15" t="s">
        <v>82</v>
      </c>
      <c r="T15" t="s">
        <v>484</v>
      </c>
      <c r="U15" t="s">
        <v>85</v>
      </c>
      <c r="V15" t="s">
        <v>485</v>
      </c>
      <c r="W15" t="s">
        <v>73</v>
      </c>
      <c r="X15">
        <v>0.23</v>
      </c>
      <c r="Y15" t="s">
        <v>73</v>
      </c>
      <c r="Z15" t="s">
        <v>73</v>
      </c>
      <c r="AA15" t="s">
        <v>84</v>
      </c>
      <c r="AB15" t="s">
        <v>486</v>
      </c>
      <c r="AC15" t="s">
        <v>487</v>
      </c>
      <c r="AD15" t="s">
        <v>488</v>
      </c>
      <c r="AE15" t="s">
        <v>84</v>
      </c>
      <c r="AF15" t="s">
        <v>89</v>
      </c>
      <c r="AG15" t="s">
        <v>73</v>
      </c>
      <c r="AH15" t="s">
        <v>89</v>
      </c>
      <c r="AI15" t="s">
        <v>89</v>
      </c>
      <c r="AJ15">
        <v>-59.696524999999902</v>
      </c>
      <c r="AK15">
        <v>-5.6237778</v>
      </c>
      <c r="AL15" t="s">
        <v>85</v>
      </c>
      <c r="AM15" t="s">
        <v>93</v>
      </c>
      <c r="AN15" t="s">
        <v>489</v>
      </c>
      <c r="AO15" t="s">
        <v>490</v>
      </c>
      <c r="AP15" t="s">
        <v>491</v>
      </c>
      <c r="AQ15" t="s">
        <v>492</v>
      </c>
      <c r="AR15">
        <v>442708.3</v>
      </c>
      <c r="AS15">
        <v>13281249</v>
      </c>
      <c r="AT15">
        <v>2924111</v>
      </c>
      <c r="AU15">
        <v>16205360</v>
      </c>
      <c r="AV15">
        <v>16205376</v>
      </c>
      <c r="AW15">
        <v>0</v>
      </c>
      <c r="AX15">
        <v>16</v>
      </c>
      <c r="AY15" t="s">
        <v>84</v>
      </c>
      <c r="AZ15" t="s">
        <v>73</v>
      </c>
      <c r="BA15" t="s">
        <v>148</v>
      </c>
      <c r="BB15" t="s">
        <v>83</v>
      </c>
      <c r="BC15" t="s">
        <v>384</v>
      </c>
      <c r="BD15" t="s">
        <v>83</v>
      </c>
      <c r="BE15">
        <v>2010</v>
      </c>
      <c r="BF15">
        <v>2019</v>
      </c>
      <c r="BG15" t="s">
        <v>228</v>
      </c>
      <c r="BH15" t="s">
        <v>99</v>
      </c>
      <c r="BI15" t="s">
        <v>493</v>
      </c>
      <c r="BJ15">
        <v>44296</v>
      </c>
      <c r="BK15" t="s">
        <v>494</v>
      </c>
      <c r="BL15" t="s">
        <v>73</v>
      </c>
      <c r="BM15" t="s">
        <v>102</v>
      </c>
      <c r="BN15" t="s">
        <v>73</v>
      </c>
      <c r="BO15" t="s">
        <v>73</v>
      </c>
      <c r="BP15" t="s">
        <v>73</v>
      </c>
      <c r="BQ15" t="s">
        <v>73</v>
      </c>
      <c r="BR15" t="s">
        <v>102</v>
      </c>
      <c r="BS15" t="s">
        <v>73</v>
      </c>
      <c r="BT15" t="s">
        <v>73</v>
      </c>
      <c r="BU15" t="s">
        <v>73</v>
      </c>
      <c r="BV15" t="s">
        <v>73</v>
      </c>
      <c r="BW15" t="s">
        <v>495</v>
      </c>
      <c r="BX15" t="s">
        <v>495</v>
      </c>
      <c r="BY15" t="s">
        <v>104</v>
      </c>
      <c r="BZ15" t="s">
        <v>105</v>
      </c>
      <c r="CA15" t="s">
        <v>496</v>
      </c>
      <c r="CB15" t="s">
        <v>1576</v>
      </c>
      <c r="CC15" t="s">
        <v>107</v>
      </c>
      <c r="CD15" t="s">
        <v>73</v>
      </c>
      <c r="CE15" t="s">
        <v>73</v>
      </c>
      <c r="CF15" t="s">
        <v>104</v>
      </c>
      <c r="CG15" s="5" t="s">
        <v>497</v>
      </c>
      <c r="CH15" t="s">
        <v>1586</v>
      </c>
      <c r="CI15" t="s">
        <v>498</v>
      </c>
      <c r="CJ15" t="s">
        <v>499</v>
      </c>
      <c r="CK15" t="s">
        <v>92</v>
      </c>
      <c r="CL15" t="s">
        <v>73</v>
      </c>
      <c r="CM15" t="s">
        <v>73</v>
      </c>
      <c r="CN15" t="s">
        <v>104</v>
      </c>
      <c r="CO15" t="s">
        <v>500</v>
      </c>
      <c r="CP15" t="s">
        <v>104</v>
      </c>
      <c r="CQ15" t="s">
        <v>501</v>
      </c>
      <c r="CR15"/>
      <c r="CS15" t="s">
        <v>104</v>
      </c>
      <c r="CT15" t="s">
        <v>502</v>
      </c>
      <c r="CU15"/>
      <c r="CV15" t="s">
        <v>92</v>
      </c>
      <c r="CW15" t="s">
        <v>73</v>
      </c>
      <c r="CX15"/>
      <c r="CY15" t="s">
        <v>104</v>
      </c>
      <c r="CZ15" t="s">
        <v>503</v>
      </c>
    </row>
    <row r="16" spans="1:105" s="4" customFormat="1" ht="34" x14ac:dyDescent="0.2">
      <c r="A16">
        <v>2539</v>
      </c>
      <c r="B16">
        <v>895</v>
      </c>
      <c r="C16" t="s">
        <v>70</v>
      </c>
      <c r="D16" t="s">
        <v>504</v>
      </c>
      <c r="E16" t="s">
        <v>73</v>
      </c>
      <c r="F16" t="s">
        <v>3</v>
      </c>
      <c r="G16">
        <v>2022</v>
      </c>
      <c r="H16">
        <v>13967</v>
      </c>
      <c r="I16" t="s">
        <v>73</v>
      </c>
      <c r="J16">
        <v>2050</v>
      </c>
      <c r="K16">
        <v>30</v>
      </c>
      <c r="L16" t="s">
        <v>505</v>
      </c>
      <c r="M16" t="s">
        <v>506</v>
      </c>
      <c r="N16" t="s">
        <v>77</v>
      </c>
      <c r="O16" t="s">
        <v>78</v>
      </c>
      <c r="P16" t="s">
        <v>507</v>
      </c>
      <c r="Q16" t="s">
        <v>80</v>
      </c>
      <c r="R16" t="s">
        <v>82</v>
      </c>
      <c r="S16" t="s">
        <v>82</v>
      </c>
      <c r="T16" t="s">
        <v>83</v>
      </c>
      <c r="U16" t="s">
        <v>104</v>
      </c>
      <c r="V16" t="s">
        <v>73</v>
      </c>
      <c r="W16" t="s">
        <v>73</v>
      </c>
      <c r="X16" t="s">
        <v>73</v>
      </c>
      <c r="Y16" t="s">
        <v>73</v>
      </c>
      <c r="Z16" t="s">
        <v>104</v>
      </c>
      <c r="AA16" t="s">
        <v>92</v>
      </c>
      <c r="AB16" t="s">
        <v>508</v>
      </c>
      <c r="AC16" t="s">
        <v>88</v>
      </c>
      <c r="AD16" t="s">
        <v>121</v>
      </c>
      <c r="AE16" t="s">
        <v>73</v>
      </c>
      <c r="AF16" t="s">
        <v>89</v>
      </c>
      <c r="AG16" t="s">
        <v>89</v>
      </c>
      <c r="AH16" t="s">
        <v>509</v>
      </c>
      <c r="AI16" t="s">
        <v>89</v>
      </c>
      <c r="AJ16">
        <v>-59.394978000000002</v>
      </c>
      <c r="AK16">
        <v>-7.5603090000000002</v>
      </c>
      <c r="AL16" t="s">
        <v>104</v>
      </c>
      <c r="AM16" t="s">
        <v>93</v>
      </c>
      <c r="AN16" t="s">
        <v>510</v>
      </c>
      <c r="AO16" t="s">
        <v>511</v>
      </c>
      <c r="AP16" t="s">
        <v>512</v>
      </c>
      <c r="AQ16" t="s">
        <v>513</v>
      </c>
      <c r="AR16">
        <v>1408531.4333333333</v>
      </c>
      <c r="AS16">
        <v>42255943</v>
      </c>
      <c r="AT16">
        <v>4740461</v>
      </c>
      <c r="AU16">
        <v>46996404</v>
      </c>
      <c r="AV16">
        <v>48394478</v>
      </c>
      <c r="AW16">
        <v>1398074</v>
      </c>
      <c r="AX16">
        <v>0</v>
      </c>
      <c r="AY16" t="s">
        <v>85</v>
      </c>
      <c r="AZ16">
        <v>94</v>
      </c>
      <c r="BA16" t="s">
        <v>148</v>
      </c>
      <c r="BB16" t="s">
        <v>83</v>
      </c>
      <c r="BC16" t="s">
        <v>514</v>
      </c>
      <c r="BD16" t="s">
        <v>83</v>
      </c>
      <c r="BE16">
        <v>2012</v>
      </c>
      <c r="BF16">
        <v>2020</v>
      </c>
      <c r="BG16" t="s">
        <v>515</v>
      </c>
      <c r="BH16" t="s">
        <v>99</v>
      </c>
      <c r="BI16" t="s">
        <v>85</v>
      </c>
      <c r="BJ16">
        <v>44665</v>
      </c>
      <c r="BK16" t="s">
        <v>516</v>
      </c>
      <c r="BL16" t="s">
        <v>73</v>
      </c>
      <c r="BM16" t="s">
        <v>102</v>
      </c>
      <c r="BN16" t="s">
        <v>73</v>
      </c>
      <c r="BO16" t="s">
        <v>73</v>
      </c>
      <c r="BP16" t="s">
        <v>73</v>
      </c>
      <c r="BQ16" t="s">
        <v>73</v>
      </c>
      <c r="BR16" t="s">
        <v>102</v>
      </c>
      <c r="BS16" t="s">
        <v>73</v>
      </c>
      <c r="BT16" t="s">
        <v>73</v>
      </c>
      <c r="BU16" t="s">
        <v>73</v>
      </c>
      <c r="BV16" t="s">
        <v>73</v>
      </c>
      <c r="BW16" t="s">
        <v>516</v>
      </c>
      <c r="BX16" t="s">
        <v>516</v>
      </c>
      <c r="BY16" t="s">
        <v>104</v>
      </c>
      <c r="BZ16" t="s">
        <v>127</v>
      </c>
      <c r="CA16" t="s">
        <v>517</v>
      </c>
      <c r="CB16" t="s">
        <v>1575</v>
      </c>
      <c r="CC16" t="s">
        <v>129</v>
      </c>
      <c r="CD16" t="s">
        <v>104</v>
      </c>
      <c r="CE16" t="s">
        <v>473</v>
      </c>
      <c r="CF16" t="s">
        <v>104</v>
      </c>
      <c r="CG16" s="5" t="s">
        <v>518</v>
      </c>
      <c r="CH16" t="s">
        <v>1591</v>
      </c>
      <c r="CI16" t="s">
        <v>519</v>
      </c>
      <c r="CJ16" t="s">
        <v>520</v>
      </c>
      <c r="CK16" t="s">
        <v>104</v>
      </c>
      <c r="CL16" t="s">
        <v>521</v>
      </c>
      <c r="CM16" t="s">
        <v>73</v>
      </c>
      <c r="CN16" t="s">
        <v>104</v>
      </c>
      <c r="CO16" t="s">
        <v>522</v>
      </c>
      <c r="CP16" t="s">
        <v>104</v>
      </c>
      <c r="CQ16" t="s">
        <v>523</v>
      </c>
      <c r="CR16"/>
      <c r="CS16" t="s">
        <v>73</v>
      </c>
      <c r="CT16" t="s">
        <v>73</v>
      </c>
      <c r="CU16"/>
      <c r="CV16" t="s">
        <v>73</v>
      </c>
      <c r="CW16" t="s">
        <v>73</v>
      </c>
      <c r="CX16"/>
      <c r="CY16" t="s">
        <v>73</v>
      </c>
      <c r="CZ16" t="s">
        <v>73</v>
      </c>
    </row>
    <row r="17" spans="1:104" s="4" customFormat="1" ht="46" customHeight="1" x14ac:dyDescent="0.2">
      <c r="A17">
        <v>2508</v>
      </c>
      <c r="B17">
        <v>896</v>
      </c>
      <c r="C17" t="s">
        <v>70</v>
      </c>
      <c r="D17" t="s">
        <v>524</v>
      </c>
      <c r="F17" t="s">
        <v>3</v>
      </c>
      <c r="G17">
        <v>2022</v>
      </c>
      <c r="H17">
        <v>110944.05</v>
      </c>
      <c r="I17" t="s">
        <v>73</v>
      </c>
      <c r="J17">
        <v>2048</v>
      </c>
      <c r="K17">
        <v>30</v>
      </c>
      <c r="L17" t="s">
        <v>525</v>
      </c>
      <c r="M17" t="s">
        <v>117</v>
      </c>
      <c r="N17" t="s">
        <v>526</v>
      </c>
      <c r="O17" t="s">
        <v>77</v>
      </c>
      <c r="P17" t="s">
        <v>527</v>
      </c>
      <c r="Q17" t="s">
        <v>528</v>
      </c>
      <c r="R17" t="s">
        <v>82</v>
      </c>
      <c r="S17" t="s">
        <v>82</v>
      </c>
      <c r="T17" t="s">
        <v>83</v>
      </c>
      <c r="U17" t="s">
        <v>84</v>
      </c>
      <c r="V17" t="s">
        <v>83</v>
      </c>
      <c r="W17" t="s">
        <v>83</v>
      </c>
      <c r="X17" t="s">
        <v>83</v>
      </c>
      <c r="Y17" t="s">
        <v>83</v>
      </c>
      <c r="Z17" t="s">
        <v>85</v>
      </c>
      <c r="AA17" t="s">
        <v>84</v>
      </c>
      <c r="AB17" t="s">
        <v>529</v>
      </c>
      <c r="AC17" t="s">
        <v>530</v>
      </c>
      <c r="AD17" t="s">
        <v>531</v>
      </c>
      <c r="AE17" t="s">
        <v>85</v>
      </c>
      <c r="AF17" t="s">
        <v>89</v>
      </c>
      <c r="AG17" t="s">
        <v>89</v>
      </c>
      <c r="AH17" t="s">
        <v>89</v>
      </c>
      <c r="AI17" t="s">
        <v>89</v>
      </c>
      <c r="AJ17">
        <v>-66.347020999999998</v>
      </c>
      <c r="AK17">
        <v>-9.1426909999999992</v>
      </c>
      <c r="AL17" t="s">
        <v>85</v>
      </c>
      <c r="AM17" t="s">
        <v>93</v>
      </c>
      <c r="AN17" t="s">
        <v>489</v>
      </c>
      <c r="AO17" t="s">
        <v>532</v>
      </c>
      <c r="AP17" t="s">
        <v>533</v>
      </c>
      <c r="AQ17" t="s">
        <v>534</v>
      </c>
      <c r="AR17">
        <v>374299.3</v>
      </c>
      <c r="AS17">
        <v>11228979</v>
      </c>
      <c r="AT17">
        <v>1285492</v>
      </c>
      <c r="AU17">
        <v>12514471</v>
      </c>
      <c r="AV17">
        <v>13413353</v>
      </c>
      <c r="AW17">
        <v>898882</v>
      </c>
      <c r="AX17">
        <v>0</v>
      </c>
      <c r="AY17" t="s">
        <v>85</v>
      </c>
      <c r="AZ17">
        <v>81</v>
      </c>
      <c r="BA17" t="s">
        <v>148</v>
      </c>
      <c r="BB17" t="s">
        <v>83</v>
      </c>
      <c r="BC17" t="s">
        <v>149</v>
      </c>
      <c r="BD17" t="s">
        <v>83</v>
      </c>
      <c r="BE17">
        <v>2009</v>
      </c>
      <c r="BF17">
        <v>2018</v>
      </c>
      <c r="BG17" t="s">
        <v>407</v>
      </c>
      <c r="BH17" t="s">
        <v>99</v>
      </c>
      <c r="BI17" t="s">
        <v>104</v>
      </c>
      <c r="BJ17" t="s">
        <v>73</v>
      </c>
      <c r="BK17" t="s">
        <v>535</v>
      </c>
      <c r="BL17" t="s">
        <v>73</v>
      </c>
      <c r="BM17" t="s">
        <v>102</v>
      </c>
      <c r="BN17" t="s">
        <v>73</v>
      </c>
      <c r="BO17" t="s">
        <v>73</v>
      </c>
      <c r="BP17" t="s">
        <v>73</v>
      </c>
      <c r="BQ17" t="s">
        <v>73</v>
      </c>
      <c r="BR17" t="s">
        <v>102</v>
      </c>
      <c r="BS17" t="s">
        <v>73</v>
      </c>
      <c r="BT17" t="s">
        <v>73</v>
      </c>
      <c r="BU17" t="s">
        <v>73</v>
      </c>
      <c r="BV17" t="s">
        <v>73</v>
      </c>
      <c r="BW17" t="s">
        <v>536</v>
      </c>
      <c r="BX17" t="s">
        <v>536</v>
      </c>
      <c r="BY17" t="s">
        <v>104</v>
      </c>
      <c r="BZ17" t="s">
        <v>105</v>
      </c>
      <c r="CA17" t="s">
        <v>537</v>
      </c>
      <c r="CB17" t="s">
        <v>1581</v>
      </c>
      <c r="CC17" t="s">
        <v>107</v>
      </c>
      <c r="CD17" t="s">
        <v>104</v>
      </c>
      <c r="CE17" t="s">
        <v>73</v>
      </c>
      <c r="CF17" t="s">
        <v>104</v>
      </c>
      <c r="CG17" s="5" t="s">
        <v>538</v>
      </c>
      <c r="CH17" t="s">
        <v>1614</v>
      </c>
      <c r="CI17" t="s">
        <v>539</v>
      </c>
      <c r="CJ17" t="s">
        <v>540</v>
      </c>
      <c r="CK17" t="s">
        <v>104</v>
      </c>
      <c r="CL17" t="s">
        <v>541</v>
      </c>
      <c r="CM17" t="s">
        <v>1600</v>
      </c>
      <c r="CN17" t="s">
        <v>104</v>
      </c>
      <c r="CO17" t="s">
        <v>542</v>
      </c>
      <c r="CP17" t="s">
        <v>104</v>
      </c>
      <c r="CQ17" t="s">
        <v>543</v>
      </c>
      <c r="CR17"/>
      <c r="CS17" t="s">
        <v>92</v>
      </c>
      <c r="CT17" t="s">
        <v>112</v>
      </c>
      <c r="CU17"/>
      <c r="CV17" t="s">
        <v>73</v>
      </c>
      <c r="CW17" t="s">
        <v>73</v>
      </c>
      <c r="CX17"/>
      <c r="CY17" t="s">
        <v>104</v>
      </c>
      <c r="CZ17" t="s">
        <v>544</v>
      </c>
    </row>
    <row r="18" spans="1:104" s="4" customFormat="1" ht="44" customHeight="1" x14ac:dyDescent="0.2">
      <c r="A18">
        <v>981</v>
      </c>
      <c r="B18">
        <v>901</v>
      </c>
      <c r="C18" t="s">
        <v>70</v>
      </c>
      <c r="D18" t="s">
        <v>546</v>
      </c>
      <c r="E18" t="s">
        <v>545</v>
      </c>
      <c r="F18" t="s">
        <v>3</v>
      </c>
      <c r="G18">
        <v>2022</v>
      </c>
      <c r="H18">
        <v>123066.99</v>
      </c>
      <c r="I18" t="s">
        <v>73</v>
      </c>
      <c r="J18">
        <v>2048</v>
      </c>
      <c r="K18">
        <v>40</v>
      </c>
      <c r="L18" t="s">
        <v>547</v>
      </c>
      <c r="M18" t="s">
        <v>548</v>
      </c>
      <c r="N18" t="s">
        <v>117</v>
      </c>
      <c r="O18" t="s">
        <v>526</v>
      </c>
      <c r="P18" t="s">
        <v>549</v>
      </c>
      <c r="Q18" t="s">
        <v>80</v>
      </c>
      <c r="R18" t="s">
        <v>82</v>
      </c>
      <c r="S18" t="s">
        <v>82</v>
      </c>
      <c r="T18" t="s">
        <v>550</v>
      </c>
      <c r="U18" t="s">
        <v>73</v>
      </c>
      <c r="V18" t="s">
        <v>83</v>
      </c>
      <c r="W18" t="s">
        <v>83</v>
      </c>
      <c r="X18" t="s">
        <v>83</v>
      </c>
      <c r="Y18" t="s">
        <v>83</v>
      </c>
      <c r="Z18" t="s">
        <v>104</v>
      </c>
      <c r="AA18" t="s">
        <v>104</v>
      </c>
      <c r="AB18" t="s">
        <v>551</v>
      </c>
      <c r="AC18" t="s">
        <v>530</v>
      </c>
      <c r="AD18" t="s">
        <v>121</v>
      </c>
      <c r="AE18" t="s">
        <v>73</v>
      </c>
      <c r="AF18" t="s">
        <v>89</v>
      </c>
      <c r="AG18" t="s">
        <v>89</v>
      </c>
      <c r="AH18" t="s">
        <v>552</v>
      </c>
      <c r="AI18" t="s">
        <v>89</v>
      </c>
      <c r="AJ18">
        <v>-51.315855999999997</v>
      </c>
      <c r="AK18">
        <v>-1.979919</v>
      </c>
      <c r="AL18" t="s">
        <v>92</v>
      </c>
      <c r="AM18" t="s">
        <v>93</v>
      </c>
      <c r="AN18" t="s">
        <v>553</v>
      </c>
      <c r="AO18" t="s">
        <v>554</v>
      </c>
      <c r="AP18" t="s">
        <v>555</v>
      </c>
      <c r="AQ18" t="s">
        <v>556</v>
      </c>
      <c r="AR18">
        <v>229064.75</v>
      </c>
      <c r="AS18">
        <v>9162590</v>
      </c>
      <c r="AT18">
        <v>1402039</v>
      </c>
      <c r="AU18">
        <v>10564630</v>
      </c>
      <c r="AV18">
        <v>10564630</v>
      </c>
      <c r="AW18">
        <v>0</v>
      </c>
      <c r="AX18">
        <v>0</v>
      </c>
      <c r="AY18" t="s">
        <v>84</v>
      </c>
      <c r="AZ18" t="s">
        <v>73</v>
      </c>
      <c r="BA18" t="s">
        <v>469</v>
      </c>
      <c r="BB18" t="s">
        <v>83</v>
      </c>
      <c r="BC18" t="s">
        <v>557</v>
      </c>
      <c r="BD18" t="s">
        <v>83</v>
      </c>
      <c r="BE18">
        <v>1996</v>
      </c>
      <c r="BF18">
        <v>2008</v>
      </c>
      <c r="BG18" t="s">
        <v>98</v>
      </c>
      <c r="BH18" t="s">
        <v>99</v>
      </c>
      <c r="BI18" t="s">
        <v>85</v>
      </c>
      <c r="BJ18">
        <v>43927</v>
      </c>
      <c r="BK18" t="s">
        <v>558</v>
      </c>
      <c r="BL18" t="s">
        <v>73</v>
      </c>
      <c r="BM18" t="s">
        <v>151</v>
      </c>
      <c r="BN18" t="s">
        <v>559</v>
      </c>
      <c r="BO18" t="s">
        <v>73</v>
      </c>
      <c r="BP18" t="s">
        <v>558</v>
      </c>
      <c r="BQ18" t="s">
        <v>73</v>
      </c>
      <c r="BR18" t="s">
        <v>102</v>
      </c>
      <c r="BS18" t="s">
        <v>83</v>
      </c>
      <c r="BT18" t="s">
        <v>73</v>
      </c>
      <c r="BU18" t="s">
        <v>73</v>
      </c>
      <c r="BV18" t="s">
        <v>73</v>
      </c>
      <c r="BW18" t="s">
        <v>558</v>
      </c>
      <c r="BX18" t="s">
        <v>558</v>
      </c>
      <c r="BY18" t="s">
        <v>92</v>
      </c>
      <c r="BZ18" t="s">
        <v>73</v>
      </c>
      <c r="CA18" t="s">
        <v>1583</v>
      </c>
      <c r="CB18" t="s">
        <v>1583</v>
      </c>
      <c r="CC18" t="s">
        <v>73</v>
      </c>
      <c r="CD18" t="s">
        <v>73</v>
      </c>
      <c r="CE18" t="s">
        <v>73</v>
      </c>
      <c r="CF18" t="s">
        <v>104</v>
      </c>
      <c r="CG18" s="5" t="s">
        <v>1584</v>
      </c>
      <c r="CH18" t="s">
        <v>1592</v>
      </c>
      <c r="CI18" t="s">
        <v>560</v>
      </c>
      <c r="CJ18" t="s">
        <v>561</v>
      </c>
      <c r="CK18" t="s">
        <v>104</v>
      </c>
      <c r="CL18" t="s">
        <v>562</v>
      </c>
      <c r="CM18" t="s">
        <v>1600</v>
      </c>
      <c r="CN18" t="s">
        <v>104</v>
      </c>
      <c r="CO18" t="s">
        <v>563</v>
      </c>
      <c r="CP18" t="s">
        <v>104</v>
      </c>
      <c r="CQ18" t="s">
        <v>564</v>
      </c>
      <c r="CR18"/>
      <c r="CS18" t="s">
        <v>104</v>
      </c>
      <c r="CT18" t="s">
        <v>565</v>
      </c>
      <c r="CU18"/>
      <c r="CV18" t="s">
        <v>73</v>
      </c>
      <c r="CW18" t="s">
        <v>73</v>
      </c>
      <c r="CX18"/>
      <c r="CY18" t="s">
        <v>73</v>
      </c>
      <c r="CZ18" t="s">
        <v>73</v>
      </c>
    </row>
    <row r="19" spans="1:104" s="4" customFormat="1" ht="68" x14ac:dyDescent="0.2">
      <c r="A19">
        <v>904</v>
      </c>
      <c r="B19">
        <v>563</v>
      </c>
      <c r="C19" t="s">
        <v>167</v>
      </c>
      <c r="D19" t="s">
        <v>566</v>
      </c>
      <c r="E19" t="s">
        <v>567</v>
      </c>
      <c r="F19" t="s">
        <v>14</v>
      </c>
      <c r="G19">
        <v>2020</v>
      </c>
      <c r="H19">
        <v>63381</v>
      </c>
      <c r="I19" t="s">
        <v>73</v>
      </c>
      <c r="J19" t="s">
        <v>170</v>
      </c>
      <c r="K19">
        <v>30</v>
      </c>
      <c r="L19" t="s">
        <v>568</v>
      </c>
      <c r="M19" t="s">
        <v>78</v>
      </c>
      <c r="N19" t="s">
        <v>117</v>
      </c>
      <c r="O19" t="s">
        <v>77</v>
      </c>
      <c r="P19" t="s">
        <v>569</v>
      </c>
      <c r="Q19" t="s">
        <v>570</v>
      </c>
      <c r="R19" t="s">
        <v>140</v>
      </c>
      <c r="S19" t="s">
        <v>82</v>
      </c>
      <c r="T19" t="s">
        <v>484</v>
      </c>
      <c r="U19" t="s">
        <v>84</v>
      </c>
      <c r="V19" t="s">
        <v>83</v>
      </c>
      <c r="W19" t="s">
        <v>83</v>
      </c>
      <c r="X19" t="s">
        <v>83</v>
      </c>
      <c r="Y19" t="s">
        <v>83</v>
      </c>
      <c r="Z19" t="s">
        <v>84</v>
      </c>
      <c r="AA19" t="s">
        <v>85</v>
      </c>
      <c r="AB19" t="s">
        <v>571</v>
      </c>
      <c r="AC19" t="s">
        <v>174</v>
      </c>
      <c r="AD19" t="s">
        <v>174</v>
      </c>
      <c r="AE19" t="s">
        <v>73</v>
      </c>
      <c r="AF19" t="s">
        <v>89</v>
      </c>
      <c r="AG19" t="s">
        <v>89</v>
      </c>
      <c r="AH19" t="s">
        <v>89</v>
      </c>
      <c r="AI19" t="s">
        <v>89</v>
      </c>
      <c r="AJ19" t="s">
        <v>572</v>
      </c>
      <c r="AK19" t="s">
        <v>573</v>
      </c>
      <c r="AL19" t="s">
        <v>104</v>
      </c>
      <c r="AM19" t="s">
        <v>574</v>
      </c>
      <c r="AN19" t="s">
        <v>575</v>
      </c>
      <c r="AO19" t="s">
        <v>296</v>
      </c>
      <c r="AP19" t="s">
        <v>576</v>
      </c>
      <c r="AQ19"/>
      <c r="AR19"/>
      <c r="AS19">
        <v>6143767</v>
      </c>
      <c r="AT19">
        <v>0</v>
      </c>
      <c r="AU19">
        <v>0</v>
      </c>
      <c r="AV19">
        <v>0</v>
      </c>
      <c r="AW19">
        <v>0</v>
      </c>
      <c r="AX19">
        <v>0</v>
      </c>
      <c r="AY19" t="s">
        <v>73</v>
      </c>
      <c r="AZ19" t="s">
        <v>73</v>
      </c>
      <c r="BA19" t="s">
        <v>73</v>
      </c>
      <c r="BB19" t="s">
        <v>73</v>
      </c>
      <c r="BC19" t="s">
        <v>73</v>
      </c>
      <c r="BD19" t="s">
        <v>73</v>
      </c>
      <c r="BE19" t="s">
        <v>73</v>
      </c>
      <c r="BF19" t="s">
        <v>73</v>
      </c>
      <c r="BG19" t="s">
        <v>73</v>
      </c>
      <c r="BH19" t="s">
        <v>151</v>
      </c>
      <c r="BI19" t="s">
        <v>180</v>
      </c>
      <c r="BJ19">
        <v>41199</v>
      </c>
      <c r="BK19" t="s">
        <v>577</v>
      </c>
      <c r="BL19" t="s">
        <v>73</v>
      </c>
      <c r="BM19" t="s">
        <v>99</v>
      </c>
      <c r="BN19" t="s">
        <v>100</v>
      </c>
      <c r="BO19">
        <v>41143</v>
      </c>
      <c r="BP19" t="s">
        <v>578</v>
      </c>
      <c r="BQ19" t="s">
        <v>73</v>
      </c>
      <c r="BR19" t="s">
        <v>102</v>
      </c>
      <c r="BS19" t="s">
        <v>73</v>
      </c>
      <c r="BT19" t="s">
        <v>73</v>
      </c>
      <c r="BU19" t="s">
        <v>73</v>
      </c>
      <c r="BV19" t="s">
        <v>73</v>
      </c>
      <c r="BW19" t="s">
        <v>579</v>
      </c>
      <c r="BX19" t="s">
        <v>579</v>
      </c>
      <c r="BY19" t="s">
        <v>104</v>
      </c>
      <c r="BZ19" t="s">
        <v>105</v>
      </c>
      <c r="CA19" t="s">
        <v>580</v>
      </c>
      <c r="CB19" t="s">
        <v>1581</v>
      </c>
      <c r="CC19" t="s">
        <v>73</v>
      </c>
      <c r="CD19" t="s">
        <v>104</v>
      </c>
      <c r="CE19" t="s">
        <v>73</v>
      </c>
      <c r="CF19" t="s">
        <v>104</v>
      </c>
      <c r="CG19" s="5" t="s">
        <v>581</v>
      </c>
      <c r="CH19" t="s">
        <v>1613</v>
      </c>
      <c r="CI19" t="s">
        <v>582</v>
      </c>
      <c r="CJ19" t="s">
        <v>583</v>
      </c>
      <c r="CK19" t="s">
        <v>104</v>
      </c>
      <c r="CL19" t="s">
        <v>584</v>
      </c>
      <c r="CM19" t="s">
        <v>1600</v>
      </c>
      <c r="CN19" t="s">
        <v>104</v>
      </c>
      <c r="CO19" t="s">
        <v>585</v>
      </c>
      <c r="CP19" t="s">
        <v>104</v>
      </c>
      <c r="CQ19" t="s">
        <v>586</v>
      </c>
      <c r="CR19"/>
      <c r="CS19" t="s">
        <v>104</v>
      </c>
      <c r="CT19" t="s">
        <v>587</v>
      </c>
      <c r="CU19"/>
      <c r="CV19" t="s">
        <v>92</v>
      </c>
      <c r="CW19" t="s">
        <v>112</v>
      </c>
      <c r="CX19"/>
      <c r="CY19" t="s">
        <v>104</v>
      </c>
      <c r="CZ19" t="s">
        <v>588</v>
      </c>
    </row>
    <row r="20" spans="1:104" s="4" customFormat="1" ht="15" customHeight="1" x14ac:dyDescent="0.2">
      <c r="A20">
        <v>1650</v>
      </c>
      <c r="B20">
        <v>588</v>
      </c>
      <c r="C20" t="s">
        <v>70</v>
      </c>
      <c r="D20" t="s">
        <v>589</v>
      </c>
      <c r="E20" t="s">
        <v>590</v>
      </c>
      <c r="F20" t="s">
        <v>14</v>
      </c>
      <c r="G20">
        <v>2020</v>
      </c>
      <c r="H20">
        <v>298250</v>
      </c>
      <c r="I20" t="s">
        <v>73</v>
      </c>
      <c r="J20" t="s">
        <v>591</v>
      </c>
      <c r="K20">
        <v>60</v>
      </c>
      <c r="L20" t="s">
        <v>592</v>
      </c>
      <c r="M20" t="s">
        <v>78</v>
      </c>
      <c r="N20" t="s">
        <v>77</v>
      </c>
      <c r="O20" t="s">
        <v>76</v>
      </c>
      <c r="P20" t="s">
        <v>119</v>
      </c>
      <c r="Q20" t="s">
        <v>570</v>
      </c>
      <c r="R20" t="s">
        <v>81</v>
      </c>
      <c r="S20" t="s">
        <v>82</v>
      </c>
      <c r="T20" t="s">
        <v>83</v>
      </c>
      <c r="U20" t="s">
        <v>85</v>
      </c>
      <c r="V20" t="s">
        <v>593</v>
      </c>
      <c r="W20">
        <v>180513</v>
      </c>
      <c r="X20" t="s">
        <v>594</v>
      </c>
      <c r="Y20" t="s">
        <v>73</v>
      </c>
      <c r="Z20" t="s">
        <v>84</v>
      </c>
      <c r="AA20" t="s">
        <v>85</v>
      </c>
      <c r="AB20" t="s">
        <v>595</v>
      </c>
      <c r="AC20" t="s">
        <v>87</v>
      </c>
      <c r="AD20" t="s">
        <v>174</v>
      </c>
      <c r="AE20" t="s">
        <v>73</v>
      </c>
      <c r="AF20" t="s">
        <v>89</v>
      </c>
      <c r="AG20" t="s">
        <v>89</v>
      </c>
      <c r="AH20" t="s">
        <v>89</v>
      </c>
      <c r="AI20" t="s">
        <v>89</v>
      </c>
      <c r="AJ20" t="s">
        <v>596</v>
      </c>
      <c r="AK20" t="s">
        <v>597</v>
      </c>
      <c r="AL20" t="s">
        <v>92</v>
      </c>
      <c r="AM20" t="s">
        <v>574</v>
      </c>
      <c r="AN20" t="s">
        <v>598</v>
      </c>
      <c r="AO20" t="s">
        <v>599</v>
      </c>
      <c r="AP20" t="s">
        <v>600</v>
      </c>
      <c r="AQ20" t="s">
        <v>601</v>
      </c>
      <c r="AR20">
        <v>1243227.7</v>
      </c>
      <c r="AS20">
        <v>12432277</v>
      </c>
      <c r="AT20">
        <v>1834208</v>
      </c>
      <c r="AU20">
        <v>14266485</v>
      </c>
      <c r="AV20">
        <v>18342081</v>
      </c>
      <c r="AW20">
        <v>4075596</v>
      </c>
      <c r="AX20">
        <v>0</v>
      </c>
      <c r="AY20" t="s">
        <v>85</v>
      </c>
      <c r="AZ20">
        <v>7.37</v>
      </c>
      <c r="BA20" t="s">
        <v>602</v>
      </c>
      <c r="BB20" t="s">
        <v>83</v>
      </c>
      <c r="BC20" t="s">
        <v>514</v>
      </c>
      <c r="BD20" t="s">
        <v>83</v>
      </c>
      <c r="BE20">
        <v>2018</v>
      </c>
      <c r="BF20">
        <v>2020</v>
      </c>
      <c r="BG20" t="s">
        <v>98</v>
      </c>
      <c r="BH20" t="s">
        <v>151</v>
      </c>
      <c r="BI20" t="s">
        <v>100</v>
      </c>
      <c r="BJ20">
        <v>44756</v>
      </c>
      <c r="BK20" t="s">
        <v>603</v>
      </c>
      <c r="BL20">
        <v>44150</v>
      </c>
      <c r="BM20" t="s">
        <v>99</v>
      </c>
      <c r="BN20" t="s">
        <v>100</v>
      </c>
      <c r="BO20">
        <v>42002</v>
      </c>
      <c r="BP20" t="s">
        <v>604</v>
      </c>
      <c r="BQ20">
        <v>44150</v>
      </c>
      <c r="BR20" t="s">
        <v>102</v>
      </c>
      <c r="BS20" t="s">
        <v>73</v>
      </c>
      <c r="BT20" t="s">
        <v>73</v>
      </c>
      <c r="BU20" t="s">
        <v>73</v>
      </c>
      <c r="BV20" t="s">
        <v>73</v>
      </c>
      <c r="BW20" t="s">
        <v>605</v>
      </c>
      <c r="BX20" t="s">
        <v>605</v>
      </c>
      <c r="BY20" t="s">
        <v>104</v>
      </c>
      <c r="BZ20" t="s">
        <v>127</v>
      </c>
      <c r="CA20" t="s">
        <v>209</v>
      </c>
      <c r="CB20" t="s">
        <v>1575</v>
      </c>
      <c r="CC20" t="s">
        <v>129</v>
      </c>
      <c r="CD20" t="s">
        <v>104</v>
      </c>
      <c r="CE20" t="s">
        <v>73</v>
      </c>
      <c r="CF20" t="s">
        <v>104</v>
      </c>
      <c r="CG20" s="5" t="s">
        <v>606</v>
      </c>
      <c r="CH20" t="s">
        <v>1589</v>
      </c>
      <c r="CI20" t="s">
        <v>607</v>
      </c>
      <c r="CJ20" t="s">
        <v>608</v>
      </c>
      <c r="CK20" t="s">
        <v>104</v>
      </c>
      <c r="CL20" t="s">
        <v>609</v>
      </c>
      <c r="CM20" t="s">
        <v>1600</v>
      </c>
      <c r="CN20" t="s">
        <v>104</v>
      </c>
      <c r="CO20" t="s">
        <v>610</v>
      </c>
      <c r="CP20" t="s">
        <v>104</v>
      </c>
      <c r="CQ20" t="s">
        <v>611</v>
      </c>
      <c r="CR20"/>
      <c r="CS20" t="s">
        <v>92</v>
      </c>
      <c r="CT20" t="s">
        <v>112</v>
      </c>
      <c r="CU20"/>
      <c r="CV20" t="s">
        <v>104</v>
      </c>
      <c r="CW20" t="s">
        <v>612</v>
      </c>
      <c r="CX20"/>
      <c r="CY20" t="s">
        <v>92</v>
      </c>
      <c r="CZ20" t="s">
        <v>112</v>
      </c>
    </row>
    <row r="21" spans="1:104" s="4" customFormat="1" ht="23" customHeight="1" x14ac:dyDescent="0.2">
      <c r="A21">
        <v>856</v>
      </c>
      <c r="B21">
        <v>137</v>
      </c>
      <c r="C21" t="s">
        <v>70</v>
      </c>
      <c r="D21" t="s">
        <v>613</v>
      </c>
      <c r="E21" t="s">
        <v>614</v>
      </c>
      <c r="F21" t="s">
        <v>4</v>
      </c>
      <c r="G21">
        <v>2020</v>
      </c>
      <c r="H21">
        <v>13465</v>
      </c>
      <c r="I21" t="s">
        <v>615</v>
      </c>
      <c r="J21" t="s">
        <v>616</v>
      </c>
      <c r="K21">
        <v>30</v>
      </c>
      <c r="L21" t="s">
        <v>617</v>
      </c>
      <c r="M21" t="s">
        <v>78</v>
      </c>
      <c r="N21" t="s">
        <v>77</v>
      </c>
      <c r="O21" t="s">
        <v>117</v>
      </c>
      <c r="P21" t="s">
        <v>618</v>
      </c>
      <c r="Q21" t="s">
        <v>80</v>
      </c>
      <c r="R21" t="s">
        <v>140</v>
      </c>
      <c r="S21" t="s">
        <v>82</v>
      </c>
      <c r="T21" t="s">
        <v>619</v>
      </c>
      <c r="U21" t="s">
        <v>84</v>
      </c>
      <c r="V21" t="s">
        <v>83</v>
      </c>
      <c r="W21" t="s">
        <v>83</v>
      </c>
      <c r="X21" t="s">
        <v>83</v>
      </c>
      <c r="Y21" t="s">
        <v>83</v>
      </c>
      <c r="Z21" t="s">
        <v>84</v>
      </c>
      <c r="AA21" t="s">
        <v>85</v>
      </c>
      <c r="AB21" t="s">
        <v>620</v>
      </c>
      <c r="AC21" t="s">
        <v>174</v>
      </c>
      <c r="AD21" t="s">
        <v>121</v>
      </c>
      <c r="AE21" t="s">
        <v>84</v>
      </c>
      <c r="AF21" t="s">
        <v>89</v>
      </c>
      <c r="AG21" t="s">
        <v>89</v>
      </c>
      <c r="AH21" t="s">
        <v>89</v>
      </c>
      <c r="AI21" t="s">
        <v>89</v>
      </c>
      <c r="AJ21" t="s">
        <v>621</v>
      </c>
      <c r="AK21" t="s">
        <v>622</v>
      </c>
      <c r="AL21" t="s">
        <v>92</v>
      </c>
      <c r="AM21" t="s">
        <v>93</v>
      </c>
      <c r="AN21" t="s">
        <v>623</v>
      </c>
      <c r="AO21" t="s">
        <v>624</v>
      </c>
      <c r="AP21" t="s">
        <v>625</v>
      </c>
      <c r="AQ21" t="s">
        <v>625</v>
      </c>
      <c r="AR21">
        <v>80937.580645161288</v>
      </c>
      <c r="AS21">
        <v>2509065</v>
      </c>
      <c r="AT21">
        <v>464171</v>
      </c>
      <c r="AU21">
        <v>2973236</v>
      </c>
      <c r="AV21">
        <v>3302402</v>
      </c>
      <c r="AW21">
        <v>329166</v>
      </c>
      <c r="AX21">
        <v>0</v>
      </c>
      <c r="AY21" t="s">
        <v>85</v>
      </c>
      <c r="AZ21" t="s">
        <v>73</v>
      </c>
      <c r="BA21" t="s">
        <v>626</v>
      </c>
      <c r="BB21" t="s">
        <v>83</v>
      </c>
      <c r="BC21" t="s">
        <v>227</v>
      </c>
      <c r="BD21" t="s">
        <v>83</v>
      </c>
      <c r="BE21">
        <v>2018</v>
      </c>
      <c r="BF21">
        <v>2020</v>
      </c>
      <c r="BG21" t="s">
        <v>98</v>
      </c>
      <c r="BH21" t="s">
        <v>151</v>
      </c>
      <c r="BI21" t="s">
        <v>100</v>
      </c>
      <c r="BJ21">
        <v>43100</v>
      </c>
      <c r="BK21" t="s">
        <v>627</v>
      </c>
      <c r="BL21" t="s">
        <v>73</v>
      </c>
      <c r="BM21" t="s">
        <v>99</v>
      </c>
      <c r="BN21" t="s">
        <v>100</v>
      </c>
      <c r="BO21">
        <v>41148</v>
      </c>
      <c r="BP21" t="s">
        <v>628</v>
      </c>
      <c r="BQ21" t="s">
        <v>73</v>
      </c>
      <c r="BR21" t="s">
        <v>102</v>
      </c>
      <c r="BS21" t="s">
        <v>73</v>
      </c>
      <c r="BT21" t="s">
        <v>73</v>
      </c>
      <c r="BU21" t="s">
        <v>73</v>
      </c>
      <c r="BV21" t="s">
        <v>73</v>
      </c>
      <c r="BW21" t="s">
        <v>629</v>
      </c>
      <c r="BX21" t="s">
        <v>630</v>
      </c>
      <c r="BY21" t="s">
        <v>104</v>
      </c>
      <c r="BZ21" t="s">
        <v>631</v>
      </c>
      <c r="CA21" t="s">
        <v>632</v>
      </c>
      <c r="CB21" t="s">
        <v>1574</v>
      </c>
      <c r="CC21" t="s">
        <v>107</v>
      </c>
      <c r="CD21" t="s">
        <v>104</v>
      </c>
      <c r="CE21" t="s">
        <v>210</v>
      </c>
      <c r="CF21" t="s">
        <v>104</v>
      </c>
      <c r="CG21" s="5" t="s">
        <v>633</v>
      </c>
      <c r="CH21" t="s">
        <v>1615</v>
      </c>
      <c r="CI21" t="s">
        <v>634</v>
      </c>
      <c r="CJ21" t="s">
        <v>635</v>
      </c>
      <c r="CK21" t="s">
        <v>104</v>
      </c>
      <c r="CL21" t="s">
        <v>636</v>
      </c>
      <c r="CM21" t="s">
        <v>1600</v>
      </c>
      <c r="CN21" t="s">
        <v>92</v>
      </c>
      <c r="CO21" t="s">
        <v>188</v>
      </c>
      <c r="CP21" t="s">
        <v>104</v>
      </c>
      <c r="CQ21" t="s">
        <v>637</v>
      </c>
      <c r="CR21"/>
      <c r="CS21" t="s">
        <v>104</v>
      </c>
      <c r="CT21" t="s">
        <v>638</v>
      </c>
      <c r="CU21"/>
      <c r="CV21" t="s">
        <v>104</v>
      </c>
      <c r="CW21" t="s">
        <v>639</v>
      </c>
      <c r="CX21"/>
      <c r="CY21" t="s">
        <v>104</v>
      </c>
      <c r="CZ21" t="s">
        <v>640</v>
      </c>
    </row>
    <row r="22" spans="1:104" s="4" customFormat="1" ht="15" customHeight="1" x14ac:dyDescent="0.2">
      <c r="A22">
        <v>1396</v>
      </c>
      <c r="B22">
        <v>805</v>
      </c>
      <c r="C22" t="s">
        <v>70</v>
      </c>
      <c r="D22" t="s">
        <v>42</v>
      </c>
      <c r="E22" t="s">
        <v>193</v>
      </c>
      <c r="F22" t="s">
        <v>4</v>
      </c>
      <c r="G22">
        <v>2020</v>
      </c>
      <c r="H22">
        <v>48177</v>
      </c>
      <c r="I22" t="s">
        <v>73</v>
      </c>
      <c r="J22" t="s">
        <v>439</v>
      </c>
      <c r="K22">
        <v>30</v>
      </c>
      <c r="L22" t="s">
        <v>641</v>
      </c>
      <c r="M22" t="s">
        <v>117</v>
      </c>
      <c r="N22" t="s">
        <v>78</v>
      </c>
      <c r="O22" t="s">
        <v>77</v>
      </c>
      <c r="P22" t="s">
        <v>642</v>
      </c>
      <c r="Q22" t="s">
        <v>80</v>
      </c>
      <c r="R22" t="s">
        <v>82</v>
      </c>
      <c r="S22" t="s">
        <v>82</v>
      </c>
      <c r="T22" t="s">
        <v>83</v>
      </c>
      <c r="U22" t="s">
        <v>84</v>
      </c>
      <c r="V22" t="s">
        <v>83</v>
      </c>
      <c r="W22" t="s">
        <v>83</v>
      </c>
      <c r="X22" t="s">
        <v>83</v>
      </c>
      <c r="Y22" t="s">
        <v>83</v>
      </c>
      <c r="Z22" t="s">
        <v>85</v>
      </c>
      <c r="AA22" t="s">
        <v>85</v>
      </c>
      <c r="AB22" t="s">
        <v>643</v>
      </c>
      <c r="AC22" t="s">
        <v>174</v>
      </c>
      <c r="AD22" t="s">
        <v>174</v>
      </c>
      <c r="AE22" t="s">
        <v>84</v>
      </c>
      <c r="AF22" t="s">
        <v>89</v>
      </c>
      <c r="AG22" t="s">
        <v>89</v>
      </c>
      <c r="AH22" t="s">
        <v>89</v>
      </c>
      <c r="AI22" t="s">
        <v>89</v>
      </c>
      <c r="AJ22" t="s">
        <v>644</v>
      </c>
      <c r="AK22" t="s">
        <v>645</v>
      </c>
      <c r="AL22" t="s">
        <v>104</v>
      </c>
      <c r="AM22" t="s">
        <v>93</v>
      </c>
      <c r="AN22" t="s">
        <v>623</v>
      </c>
      <c r="AO22" t="s">
        <v>646</v>
      </c>
      <c r="AP22" t="s">
        <v>448</v>
      </c>
      <c r="AQ22" t="s">
        <v>647</v>
      </c>
      <c r="AR22">
        <v>141821.5</v>
      </c>
      <c r="AS22">
        <v>567286</v>
      </c>
      <c r="AT22">
        <v>81629</v>
      </c>
      <c r="AU22">
        <v>648915</v>
      </c>
      <c r="AV22">
        <v>816294</v>
      </c>
      <c r="AW22">
        <v>167379</v>
      </c>
      <c r="AX22">
        <v>0</v>
      </c>
      <c r="AY22" t="s">
        <v>85</v>
      </c>
      <c r="AZ22">
        <v>1.3</v>
      </c>
      <c r="BA22" t="s">
        <v>97</v>
      </c>
      <c r="BB22" t="s">
        <v>83</v>
      </c>
      <c r="BC22" t="s">
        <v>514</v>
      </c>
      <c r="BD22" t="s">
        <v>83</v>
      </c>
      <c r="BE22">
        <v>2012</v>
      </c>
      <c r="BF22">
        <v>2018</v>
      </c>
      <c r="BG22" t="s">
        <v>150</v>
      </c>
      <c r="BH22" t="s">
        <v>151</v>
      </c>
      <c r="BI22" t="s">
        <v>100</v>
      </c>
      <c r="BJ22">
        <v>42116</v>
      </c>
      <c r="BK22" t="s">
        <v>648</v>
      </c>
      <c r="BL22">
        <v>43942</v>
      </c>
      <c r="BM22" t="s">
        <v>99</v>
      </c>
      <c r="BN22" t="s">
        <v>100</v>
      </c>
      <c r="BO22">
        <v>42116</v>
      </c>
      <c r="BP22" t="s">
        <v>649</v>
      </c>
      <c r="BQ22">
        <v>43942</v>
      </c>
      <c r="BR22" t="s">
        <v>102</v>
      </c>
      <c r="BS22" t="s">
        <v>73</v>
      </c>
      <c r="BT22" t="s">
        <v>73</v>
      </c>
      <c r="BU22" t="s">
        <v>73</v>
      </c>
      <c r="BV22" t="s">
        <v>73</v>
      </c>
      <c r="BW22" t="s">
        <v>650</v>
      </c>
      <c r="BX22" t="s">
        <v>650</v>
      </c>
      <c r="BY22" t="s">
        <v>104</v>
      </c>
      <c r="BZ22" t="s">
        <v>105</v>
      </c>
      <c r="CA22" t="s">
        <v>651</v>
      </c>
      <c r="CB22" t="s">
        <v>1574</v>
      </c>
      <c r="CC22" t="s">
        <v>107</v>
      </c>
      <c r="CD22" t="s">
        <v>104</v>
      </c>
      <c r="CE22" t="s">
        <v>73</v>
      </c>
      <c r="CF22" t="s">
        <v>104</v>
      </c>
      <c r="CG22" s="5" t="s">
        <v>652</v>
      </c>
      <c r="CH22" t="s">
        <v>1612</v>
      </c>
      <c r="CI22" t="s">
        <v>653</v>
      </c>
      <c r="CJ22" t="s">
        <v>654</v>
      </c>
      <c r="CK22" t="s">
        <v>104</v>
      </c>
      <c r="CL22" t="s">
        <v>655</v>
      </c>
      <c r="CM22" t="s">
        <v>1600</v>
      </c>
      <c r="CN22" t="s">
        <v>92</v>
      </c>
      <c r="CO22" t="s">
        <v>188</v>
      </c>
      <c r="CP22" t="s">
        <v>104</v>
      </c>
      <c r="CQ22" t="s">
        <v>656</v>
      </c>
      <c r="CR22"/>
      <c r="CS22" t="s">
        <v>92</v>
      </c>
      <c r="CT22" t="s">
        <v>190</v>
      </c>
      <c r="CU22"/>
      <c r="CV22" t="s">
        <v>104</v>
      </c>
      <c r="CW22" t="s">
        <v>657</v>
      </c>
      <c r="CX22"/>
      <c r="CY22" t="s">
        <v>104</v>
      </c>
      <c r="CZ22" t="s">
        <v>658</v>
      </c>
    </row>
    <row r="23" spans="1:104" s="4" customFormat="1" ht="15" customHeight="1" x14ac:dyDescent="0.2">
      <c r="A23">
        <v>1400</v>
      </c>
      <c r="B23">
        <v>806</v>
      </c>
      <c r="C23" t="s">
        <v>70</v>
      </c>
      <c r="D23" t="s">
        <v>659</v>
      </c>
      <c r="E23" t="s">
        <v>193</v>
      </c>
      <c r="F23" t="s">
        <v>4</v>
      </c>
      <c r="G23">
        <v>2020</v>
      </c>
      <c r="H23">
        <v>54623</v>
      </c>
      <c r="I23" t="s">
        <v>73</v>
      </c>
      <c r="J23" t="s">
        <v>396</v>
      </c>
      <c r="K23">
        <v>30</v>
      </c>
      <c r="L23" t="s">
        <v>660</v>
      </c>
      <c r="M23" t="s">
        <v>117</v>
      </c>
      <c r="N23" t="s">
        <v>78</v>
      </c>
      <c r="O23" t="s">
        <v>77</v>
      </c>
      <c r="P23" t="s">
        <v>642</v>
      </c>
      <c r="Q23" t="s">
        <v>80</v>
      </c>
      <c r="R23" t="s">
        <v>82</v>
      </c>
      <c r="S23" t="s">
        <v>82</v>
      </c>
      <c r="T23" t="s">
        <v>83</v>
      </c>
      <c r="U23" t="s">
        <v>84</v>
      </c>
      <c r="V23" t="s">
        <v>83</v>
      </c>
      <c r="W23" t="s">
        <v>83</v>
      </c>
      <c r="X23" t="s">
        <v>83</v>
      </c>
      <c r="Y23" t="s">
        <v>83</v>
      </c>
      <c r="Z23" t="s">
        <v>85</v>
      </c>
      <c r="AA23" t="s">
        <v>85</v>
      </c>
      <c r="AB23" t="s">
        <v>661</v>
      </c>
      <c r="AC23" t="s">
        <v>174</v>
      </c>
      <c r="AD23" t="s">
        <v>174</v>
      </c>
      <c r="AE23" t="s">
        <v>84</v>
      </c>
      <c r="AF23" t="s">
        <v>89</v>
      </c>
      <c r="AG23" t="s">
        <v>89</v>
      </c>
      <c r="AH23" t="s">
        <v>89</v>
      </c>
      <c r="AI23" t="s">
        <v>89</v>
      </c>
      <c r="AJ23" t="s">
        <v>662</v>
      </c>
      <c r="AK23" t="s">
        <v>663</v>
      </c>
      <c r="AL23" t="s">
        <v>92</v>
      </c>
      <c r="AM23" t="s">
        <v>93</v>
      </c>
      <c r="AN23" t="s">
        <v>623</v>
      </c>
      <c r="AO23" t="s">
        <v>664</v>
      </c>
      <c r="AP23" t="s">
        <v>404</v>
      </c>
      <c r="AQ23"/>
      <c r="AR23"/>
      <c r="AS23">
        <v>10019347</v>
      </c>
      <c r="AT23">
        <v>8272143</v>
      </c>
      <c r="AU23">
        <v>10019347</v>
      </c>
      <c r="AV23">
        <v>13873520</v>
      </c>
      <c r="AW23">
        <v>2865037</v>
      </c>
      <c r="AX23">
        <v>989136</v>
      </c>
      <c r="AY23" t="s">
        <v>85</v>
      </c>
      <c r="AZ23">
        <v>31</v>
      </c>
      <c r="BA23" t="s">
        <v>665</v>
      </c>
      <c r="BB23" t="s">
        <v>666</v>
      </c>
      <c r="BC23" t="s">
        <v>227</v>
      </c>
      <c r="BD23" t="s">
        <v>83</v>
      </c>
      <c r="BE23">
        <v>1988</v>
      </c>
      <c r="BF23">
        <v>2012</v>
      </c>
      <c r="BG23" t="s">
        <v>249</v>
      </c>
      <c r="BH23" t="s">
        <v>99</v>
      </c>
      <c r="BI23" t="s">
        <v>100</v>
      </c>
      <c r="BJ23">
        <v>42117</v>
      </c>
      <c r="BK23" t="s">
        <v>667</v>
      </c>
      <c r="BL23">
        <v>43943</v>
      </c>
      <c r="BM23" t="s">
        <v>151</v>
      </c>
      <c r="BN23" t="s">
        <v>100</v>
      </c>
      <c r="BO23">
        <v>42117</v>
      </c>
      <c r="BP23" t="s">
        <v>667</v>
      </c>
      <c r="BQ23">
        <v>43943</v>
      </c>
      <c r="BR23" t="s">
        <v>102</v>
      </c>
      <c r="BS23" t="s">
        <v>73</v>
      </c>
      <c r="BT23" t="s">
        <v>73</v>
      </c>
      <c r="BU23" t="s">
        <v>73</v>
      </c>
      <c r="BV23" t="s">
        <v>73</v>
      </c>
      <c r="BW23" t="s">
        <v>668</v>
      </c>
      <c r="BX23" t="s">
        <v>668</v>
      </c>
      <c r="BY23" t="s">
        <v>104</v>
      </c>
      <c r="BZ23" t="s">
        <v>105</v>
      </c>
      <c r="CA23" t="s">
        <v>669</v>
      </c>
      <c r="CB23" t="s">
        <v>1574</v>
      </c>
      <c r="CC23" t="s">
        <v>107</v>
      </c>
      <c r="CD23" t="s">
        <v>104</v>
      </c>
      <c r="CE23" t="s">
        <v>73</v>
      </c>
      <c r="CF23" t="s">
        <v>104</v>
      </c>
      <c r="CG23" s="5" t="s">
        <v>670</v>
      </c>
      <c r="CH23" t="s">
        <v>1612</v>
      </c>
      <c r="CI23" t="s">
        <v>653</v>
      </c>
      <c r="CJ23" t="s">
        <v>671</v>
      </c>
      <c r="CK23" t="s">
        <v>104</v>
      </c>
      <c r="CL23" t="s">
        <v>655</v>
      </c>
      <c r="CM23" t="s">
        <v>1600</v>
      </c>
      <c r="CN23" t="s">
        <v>92</v>
      </c>
      <c r="CO23" t="s">
        <v>188</v>
      </c>
      <c r="CP23" t="s">
        <v>104</v>
      </c>
      <c r="CQ23" t="s">
        <v>656</v>
      </c>
      <c r="CR23"/>
      <c r="CS23" t="s">
        <v>104</v>
      </c>
      <c r="CT23" t="s">
        <v>672</v>
      </c>
      <c r="CU23"/>
      <c r="CV23" t="s">
        <v>104</v>
      </c>
      <c r="CW23" t="s">
        <v>673</v>
      </c>
      <c r="CX23"/>
      <c r="CY23" t="s">
        <v>104</v>
      </c>
      <c r="CZ23" t="s">
        <v>674</v>
      </c>
    </row>
    <row r="24" spans="1:104" s="4" customFormat="1" ht="15" customHeight="1" x14ac:dyDescent="0.2">
      <c r="A24">
        <v>1399</v>
      </c>
      <c r="B24">
        <v>807</v>
      </c>
      <c r="C24" t="s">
        <v>234</v>
      </c>
      <c r="D24" t="s">
        <v>43</v>
      </c>
      <c r="E24" t="s">
        <v>193</v>
      </c>
      <c r="F24" t="s">
        <v>4</v>
      </c>
      <c r="G24">
        <v>2020</v>
      </c>
      <c r="H24">
        <v>34288</v>
      </c>
      <c r="I24" t="s">
        <v>73</v>
      </c>
      <c r="J24" t="s">
        <v>396</v>
      </c>
      <c r="K24">
        <v>30</v>
      </c>
      <c r="L24" t="s">
        <v>660</v>
      </c>
      <c r="M24" t="s">
        <v>117</v>
      </c>
      <c r="N24" t="s">
        <v>78</v>
      </c>
      <c r="O24" t="s">
        <v>77</v>
      </c>
      <c r="P24" t="s">
        <v>675</v>
      </c>
      <c r="Q24" t="s">
        <v>80</v>
      </c>
      <c r="R24" t="s">
        <v>82</v>
      </c>
      <c r="S24" t="s">
        <v>82</v>
      </c>
      <c r="T24" t="s">
        <v>83</v>
      </c>
      <c r="U24" t="s">
        <v>84</v>
      </c>
      <c r="V24" t="s">
        <v>83</v>
      </c>
      <c r="W24" t="s">
        <v>83</v>
      </c>
      <c r="X24" t="s">
        <v>83</v>
      </c>
      <c r="Y24" t="s">
        <v>83</v>
      </c>
      <c r="Z24" t="s">
        <v>85</v>
      </c>
      <c r="AA24" t="s">
        <v>85</v>
      </c>
      <c r="AB24" t="s">
        <v>676</v>
      </c>
      <c r="AC24" t="s">
        <v>174</v>
      </c>
      <c r="AD24" t="s">
        <v>174</v>
      </c>
      <c r="AE24" t="s">
        <v>84</v>
      </c>
      <c r="AF24" t="s">
        <v>89</v>
      </c>
      <c r="AG24" t="s">
        <v>89</v>
      </c>
      <c r="AH24" t="s">
        <v>89</v>
      </c>
      <c r="AI24" t="s">
        <v>89</v>
      </c>
      <c r="AJ24" t="s">
        <v>677</v>
      </c>
      <c r="AK24" t="s">
        <v>678</v>
      </c>
      <c r="AL24" t="s">
        <v>104</v>
      </c>
      <c r="AM24" t="s">
        <v>93</v>
      </c>
      <c r="AN24" t="s">
        <v>679</v>
      </c>
      <c r="AO24" t="s">
        <v>680</v>
      </c>
      <c r="AP24" t="s">
        <v>404</v>
      </c>
      <c r="AQ24"/>
      <c r="AR24"/>
      <c r="AS24">
        <v>4850763</v>
      </c>
      <c r="AT24">
        <v>4241776</v>
      </c>
      <c r="AU24">
        <v>8179053</v>
      </c>
      <c r="AV24">
        <v>3750287</v>
      </c>
      <c r="AW24">
        <v>186990</v>
      </c>
      <c r="AX24">
        <v>0</v>
      </c>
      <c r="AY24" t="s">
        <v>85</v>
      </c>
      <c r="AZ24" t="s">
        <v>73</v>
      </c>
      <c r="BA24" t="s">
        <v>681</v>
      </c>
      <c r="BB24" t="s">
        <v>682</v>
      </c>
      <c r="BC24" t="s">
        <v>227</v>
      </c>
      <c r="BD24" t="s">
        <v>83</v>
      </c>
      <c r="BE24">
        <v>1998</v>
      </c>
      <c r="BF24">
        <v>2013</v>
      </c>
      <c r="BG24" t="s">
        <v>515</v>
      </c>
      <c r="BH24" t="s">
        <v>151</v>
      </c>
      <c r="BI24" t="s">
        <v>100</v>
      </c>
      <c r="BJ24">
        <v>42860</v>
      </c>
      <c r="BK24" t="s">
        <v>683</v>
      </c>
      <c r="BL24" t="s">
        <v>73</v>
      </c>
      <c r="BM24" t="s">
        <v>99</v>
      </c>
      <c r="BN24" t="s">
        <v>100</v>
      </c>
      <c r="BO24">
        <v>42860</v>
      </c>
      <c r="BP24" t="s">
        <v>683</v>
      </c>
      <c r="BQ24" t="s">
        <v>73</v>
      </c>
      <c r="BR24" t="s">
        <v>102</v>
      </c>
      <c r="BS24" t="s">
        <v>73</v>
      </c>
      <c r="BT24" t="s">
        <v>73</v>
      </c>
      <c r="BU24" t="s">
        <v>73</v>
      </c>
      <c r="BV24" t="s">
        <v>73</v>
      </c>
      <c r="BW24" t="s">
        <v>684</v>
      </c>
      <c r="BX24" t="s">
        <v>684</v>
      </c>
      <c r="BY24" t="s">
        <v>104</v>
      </c>
      <c r="BZ24" t="s">
        <v>105</v>
      </c>
      <c r="CA24" t="s">
        <v>685</v>
      </c>
      <c r="CB24" t="s">
        <v>1574</v>
      </c>
      <c r="CC24" t="s">
        <v>107</v>
      </c>
      <c r="CD24" t="s">
        <v>104</v>
      </c>
      <c r="CE24" t="s">
        <v>73</v>
      </c>
      <c r="CF24" t="s">
        <v>104</v>
      </c>
      <c r="CG24" s="5" t="s">
        <v>686</v>
      </c>
      <c r="CH24" t="s">
        <v>1586</v>
      </c>
      <c r="CI24" t="s">
        <v>391</v>
      </c>
      <c r="CJ24" t="s">
        <v>687</v>
      </c>
      <c r="CK24" t="s">
        <v>104</v>
      </c>
      <c r="CL24" t="s">
        <v>688</v>
      </c>
      <c r="CM24" t="s">
        <v>1600</v>
      </c>
      <c r="CN24" t="s">
        <v>104</v>
      </c>
      <c r="CO24" t="s">
        <v>689</v>
      </c>
      <c r="CP24" t="s">
        <v>104</v>
      </c>
      <c r="CQ24" t="s">
        <v>690</v>
      </c>
      <c r="CR24"/>
      <c r="CS24" t="s">
        <v>104</v>
      </c>
      <c r="CT24" t="s">
        <v>691</v>
      </c>
      <c r="CU24"/>
      <c r="CV24" t="s">
        <v>104</v>
      </c>
      <c r="CW24" t="s">
        <v>692</v>
      </c>
      <c r="CX24"/>
      <c r="CY24" t="s">
        <v>104</v>
      </c>
      <c r="CZ24" t="s">
        <v>693</v>
      </c>
    </row>
    <row r="25" spans="1:104" s="4" customFormat="1" ht="15" customHeight="1" x14ac:dyDescent="0.2">
      <c r="A25">
        <v>1392</v>
      </c>
      <c r="B25">
        <v>808</v>
      </c>
      <c r="C25" t="s">
        <v>70</v>
      </c>
      <c r="D25" t="s">
        <v>40</v>
      </c>
      <c r="E25" t="s">
        <v>193</v>
      </c>
      <c r="F25" t="s">
        <v>4</v>
      </c>
      <c r="G25">
        <v>2020</v>
      </c>
      <c r="H25">
        <v>60316</v>
      </c>
      <c r="I25" t="s">
        <v>73</v>
      </c>
      <c r="J25" t="s">
        <v>396</v>
      </c>
      <c r="K25">
        <v>30</v>
      </c>
      <c r="L25" t="s">
        <v>694</v>
      </c>
      <c r="M25" t="s">
        <v>117</v>
      </c>
      <c r="N25" t="s">
        <v>78</v>
      </c>
      <c r="O25" t="s">
        <v>77</v>
      </c>
      <c r="P25" t="s">
        <v>695</v>
      </c>
      <c r="Q25" t="s">
        <v>80</v>
      </c>
      <c r="R25" t="s">
        <v>82</v>
      </c>
      <c r="S25" t="s">
        <v>82</v>
      </c>
      <c r="T25" t="s">
        <v>83</v>
      </c>
      <c r="U25" t="s">
        <v>85</v>
      </c>
      <c r="V25" t="s">
        <v>73</v>
      </c>
      <c r="W25" t="s">
        <v>73</v>
      </c>
      <c r="X25" t="s">
        <v>73</v>
      </c>
      <c r="Y25" t="s">
        <v>73</v>
      </c>
      <c r="Z25" t="s">
        <v>85</v>
      </c>
      <c r="AA25" t="s">
        <v>85</v>
      </c>
      <c r="AB25" t="s">
        <v>696</v>
      </c>
      <c r="AC25" t="s">
        <v>174</v>
      </c>
      <c r="AD25" t="s">
        <v>174</v>
      </c>
      <c r="AE25" t="s">
        <v>84</v>
      </c>
      <c r="AF25" t="s">
        <v>89</v>
      </c>
      <c r="AG25" t="s">
        <v>89</v>
      </c>
      <c r="AH25" t="s">
        <v>89</v>
      </c>
      <c r="AI25" t="s">
        <v>89</v>
      </c>
      <c r="AJ25" t="s">
        <v>697</v>
      </c>
      <c r="AK25" t="s">
        <v>698</v>
      </c>
      <c r="AL25" t="s">
        <v>92</v>
      </c>
      <c r="AM25" t="s">
        <v>93</v>
      </c>
      <c r="AN25" t="s">
        <v>699</v>
      </c>
      <c r="AO25" t="s">
        <v>700</v>
      </c>
      <c r="AP25" t="s">
        <v>404</v>
      </c>
      <c r="AQ25" t="s">
        <v>701</v>
      </c>
      <c r="AR25">
        <v>137884.28571428571</v>
      </c>
      <c r="AS25">
        <v>965190</v>
      </c>
      <c r="AT25">
        <v>206912</v>
      </c>
      <c r="AU25">
        <v>1172102</v>
      </c>
      <c r="AV25">
        <v>1477953</v>
      </c>
      <c r="AW25">
        <v>305851</v>
      </c>
      <c r="AX25">
        <v>0</v>
      </c>
      <c r="AY25" t="s">
        <v>85</v>
      </c>
      <c r="AZ25" t="s">
        <v>73</v>
      </c>
      <c r="BA25" t="s">
        <v>602</v>
      </c>
      <c r="BB25" t="s">
        <v>83</v>
      </c>
      <c r="BC25" t="s">
        <v>227</v>
      </c>
      <c r="BD25" t="s">
        <v>83</v>
      </c>
      <c r="BE25">
        <v>2012</v>
      </c>
      <c r="BF25">
        <v>2018</v>
      </c>
      <c r="BG25" t="s">
        <v>73</v>
      </c>
      <c r="BH25" t="s">
        <v>151</v>
      </c>
      <c r="BI25" t="s">
        <v>100</v>
      </c>
      <c r="BJ25">
        <v>42118</v>
      </c>
      <c r="BK25" t="s">
        <v>702</v>
      </c>
      <c r="BL25" t="s">
        <v>73</v>
      </c>
      <c r="BM25" t="s">
        <v>99</v>
      </c>
      <c r="BN25" t="s">
        <v>100</v>
      </c>
      <c r="BO25">
        <v>42118</v>
      </c>
      <c r="BP25" t="s">
        <v>702</v>
      </c>
      <c r="BQ25" t="s">
        <v>73</v>
      </c>
      <c r="BR25" t="s">
        <v>102</v>
      </c>
      <c r="BS25" t="s">
        <v>73</v>
      </c>
      <c r="BT25" t="s">
        <v>73</v>
      </c>
      <c r="BU25" t="s">
        <v>73</v>
      </c>
      <c r="BV25" t="s">
        <v>73</v>
      </c>
      <c r="BW25" t="s">
        <v>703</v>
      </c>
      <c r="BX25" t="s">
        <v>703</v>
      </c>
      <c r="BY25" t="s">
        <v>104</v>
      </c>
      <c r="BZ25" t="s">
        <v>105</v>
      </c>
      <c r="CA25" t="s">
        <v>704</v>
      </c>
      <c r="CB25" t="s">
        <v>1574</v>
      </c>
      <c r="CC25" t="s">
        <v>107</v>
      </c>
      <c r="CD25" t="s">
        <v>104</v>
      </c>
      <c r="CE25" t="s">
        <v>73</v>
      </c>
      <c r="CF25" t="s">
        <v>104</v>
      </c>
      <c r="CG25" s="5" t="s">
        <v>705</v>
      </c>
      <c r="CH25" t="s">
        <v>1611</v>
      </c>
      <c r="CI25" t="s">
        <v>706</v>
      </c>
      <c r="CJ25" t="s">
        <v>707</v>
      </c>
      <c r="CK25" t="s">
        <v>104</v>
      </c>
      <c r="CL25" t="s">
        <v>708</v>
      </c>
      <c r="CM25" t="s">
        <v>1599</v>
      </c>
      <c r="CN25" t="s">
        <v>104</v>
      </c>
      <c r="CO25" t="s">
        <v>709</v>
      </c>
      <c r="CP25" t="s">
        <v>104</v>
      </c>
      <c r="CQ25" t="s">
        <v>710</v>
      </c>
      <c r="CR25"/>
      <c r="CS25" t="s">
        <v>73</v>
      </c>
      <c r="CT25" t="s">
        <v>73</v>
      </c>
      <c r="CU25"/>
      <c r="CV25" t="s">
        <v>104</v>
      </c>
      <c r="CW25" t="s">
        <v>711</v>
      </c>
      <c r="CX25"/>
      <c r="CY25" t="s">
        <v>104</v>
      </c>
      <c r="CZ25" t="s">
        <v>711</v>
      </c>
    </row>
    <row r="26" spans="1:104" s="4" customFormat="1" ht="15" customHeight="1" x14ac:dyDescent="0.2">
      <c r="A26">
        <v>1390</v>
      </c>
      <c r="B26">
        <v>809</v>
      </c>
      <c r="C26" t="s">
        <v>70</v>
      </c>
      <c r="D26" t="s">
        <v>712</v>
      </c>
      <c r="E26" t="s">
        <v>713</v>
      </c>
      <c r="F26" t="s">
        <v>4</v>
      </c>
      <c r="G26">
        <v>2020</v>
      </c>
      <c r="H26">
        <v>118318</v>
      </c>
      <c r="I26" t="s">
        <v>73</v>
      </c>
      <c r="J26" t="s">
        <v>439</v>
      </c>
      <c r="K26">
        <v>30</v>
      </c>
      <c r="L26" t="s">
        <v>660</v>
      </c>
      <c r="M26" t="s">
        <v>117</v>
      </c>
      <c r="N26" t="s">
        <v>78</v>
      </c>
      <c r="O26" t="s">
        <v>77</v>
      </c>
      <c r="P26" t="s">
        <v>73</v>
      </c>
      <c r="Q26" t="s">
        <v>80</v>
      </c>
      <c r="R26" t="s">
        <v>82</v>
      </c>
      <c r="S26" t="s">
        <v>82</v>
      </c>
      <c r="T26" t="s">
        <v>83</v>
      </c>
      <c r="U26" t="s">
        <v>84</v>
      </c>
      <c r="V26" t="s">
        <v>83</v>
      </c>
      <c r="W26" t="s">
        <v>83</v>
      </c>
      <c r="X26" t="s">
        <v>83</v>
      </c>
      <c r="Y26" t="s">
        <v>83</v>
      </c>
      <c r="Z26" t="s">
        <v>85</v>
      </c>
      <c r="AA26" t="s">
        <v>85</v>
      </c>
      <c r="AB26" t="s">
        <v>714</v>
      </c>
      <c r="AC26" t="s">
        <v>174</v>
      </c>
      <c r="AD26" t="s">
        <v>174</v>
      </c>
      <c r="AE26" t="s">
        <v>84</v>
      </c>
      <c r="AF26" t="s">
        <v>89</v>
      </c>
      <c r="AG26" t="s">
        <v>89</v>
      </c>
      <c r="AH26" t="s">
        <v>89</v>
      </c>
      <c r="AI26" t="s">
        <v>89</v>
      </c>
      <c r="AJ26" t="s">
        <v>715</v>
      </c>
      <c r="AK26" t="s">
        <v>716</v>
      </c>
      <c r="AL26" t="s">
        <v>104</v>
      </c>
      <c r="AM26" t="s">
        <v>93</v>
      </c>
      <c r="AN26" t="s">
        <v>623</v>
      </c>
      <c r="AO26" t="s">
        <v>717</v>
      </c>
      <c r="AP26" t="s">
        <v>448</v>
      </c>
      <c r="AQ26" t="s">
        <v>448</v>
      </c>
      <c r="AR26">
        <v>413057.2</v>
      </c>
      <c r="AS26">
        <v>12391716</v>
      </c>
      <c r="AT26">
        <v>1473956</v>
      </c>
      <c r="AU26">
        <v>13865672</v>
      </c>
      <c r="AV26">
        <v>24464583</v>
      </c>
      <c r="AW26">
        <v>498246</v>
      </c>
      <c r="AX26">
        <v>10100665</v>
      </c>
      <c r="AY26" t="s">
        <v>85</v>
      </c>
      <c r="AZ26">
        <v>15</v>
      </c>
      <c r="BA26" t="s">
        <v>718</v>
      </c>
      <c r="BB26" t="s">
        <v>83</v>
      </c>
      <c r="BC26" t="s">
        <v>227</v>
      </c>
      <c r="BD26" t="s">
        <v>83</v>
      </c>
      <c r="BE26">
        <v>1998</v>
      </c>
      <c r="BF26">
        <v>2013</v>
      </c>
      <c r="BG26" t="s">
        <v>249</v>
      </c>
      <c r="BH26" t="s">
        <v>151</v>
      </c>
      <c r="BI26" t="s">
        <v>100</v>
      </c>
      <c r="BJ26">
        <v>42116</v>
      </c>
      <c r="BK26" t="s">
        <v>719</v>
      </c>
      <c r="BL26" t="s">
        <v>73</v>
      </c>
      <c r="BM26" t="s">
        <v>99</v>
      </c>
      <c r="BN26" t="s">
        <v>100</v>
      </c>
      <c r="BO26">
        <v>42116</v>
      </c>
      <c r="BP26" t="s">
        <v>720</v>
      </c>
      <c r="BQ26" t="s">
        <v>73</v>
      </c>
      <c r="BR26" t="s">
        <v>102</v>
      </c>
      <c r="BS26" t="s">
        <v>73</v>
      </c>
      <c r="BT26" t="s">
        <v>73</v>
      </c>
      <c r="BU26" t="s">
        <v>73</v>
      </c>
      <c r="BV26" t="s">
        <v>73</v>
      </c>
      <c r="BW26" t="s">
        <v>721</v>
      </c>
      <c r="BX26" t="s">
        <v>721</v>
      </c>
      <c r="BY26" t="s">
        <v>104</v>
      </c>
      <c r="BZ26" t="s">
        <v>105</v>
      </c>
      <c r="CA26" t="s">
        <v>722</v>
      </c>
      <c r="CB26" t="s">
        <v>1574</v>
      </c>
      <c r="CC26" t="s">
        <v>107</v>
      </c>
      <c r="CD26" t="s">
        <v>104</v>
      </c>
      <c r="CE26" t="s">
        <v>73</v>
      </c>
      <c r="CF26" t="s">
        <v>104</v>
      </c>
      <c r="CG26" s="5" t="s">
        <v>707</v>
      </c>
      <c r="CH26" t="s">
        <v>1612</v>
      </c>
      <c r="CI26" t="s">
        <v>706</v>
      </c>
      <c r="CJ26" t="s">
        <v>707</v>
      </c>
      <c r="CK26" t="s">
        <v>104</v>
      </c>
      <c r="CL26" t="s">
        <v>723</v>
      </c>
      <c r="CM26" t="s">
        <v>1601</v>
      </c>
      <c r="CN26" t="s">
        <v>104</v>
      </c>
      <c r="CO26" t="s">
        <v>724</v>
      </c>
      <c r="CP26" t="s">
        <v>104</v>
      </c>
      <c r="CQ26" t="s">
        <v>725</v>
      </c>
      <c r="CR26"/>
      <c r="CS26" t="s">
        <v>104</v>
      </c>
      <c r="CT26" t="s">
        <v>726</v>
      </c>
      <c r="CU26"/>
      <c r="CV26" t="s">
        <v>104</v>
      </c>
      <c r="CW26" t="s">
        <v>727</v>
      </c>
      <c r="CX26"/>
      <c r="CY26" t="s">
        <v>104</v>
      </c>
      <c r="CZ26" t="s">
        <v>674</v>
      </c>
    </row>
    <row r="27" spans="1:104" s="4" customFormat="1" ht="68" x14ac:dyDescent="0.2">
      <c r="A27">
        <v>1391</v>
      </c>
      <c r="B27">
        <v>810</v>
      </c>
      <c r="C27" t="s">
        <v>70</v>
      </c>
      <c r="D27" t="s">
        <v>728</v>
      </c>
      <c r="E27" t="s">
        <v>729</v>
      </c>
      <c r="F27" t="s">
        <v>4</v>
      </c>
      <c r="G27">
        <v>2020</v>
      </c>
      <c r="H27">
        <v>47667</v>
      </c>
      <c r="I27" t="s">
        <v>73</v>
      </c>
      <c r="J27" t="s">
        <v>396</v>
      </c>
      <c r="K27">
        <v>30</v>
      </c>
      <c r="L27" t="s">
        <v>730</v>
      </c>
      <c r="M27" t="s">
        <v>117</v>
      </c>
      <c r="N27" t="s">
        <v>78</v>
      </c>
      <c r="O27" t="s">
        <v>77</v>
      </c>
      <c r="P27" t="s">
        <v>642</v>
      </c>
      <c r="Q27" t="s">
        <v>80</v>
      </c>
      <c r="R27" t="s">
        <v>82</v>
      </c>
      <c r="S27" t="s">
        <v>82</v>
      </c>
      <c r="T27" t="s">
        <v>83</v>
      </c>
      <c r="U27" t="s">
        <v>84</v>
      </c>
      <c r="V27" t="s">
        <v>83</v>
      </c>
      <c r="W27" t="s">
        <v>83</v>
      </c>
      <c r="X27" t="s">
        <v>83</v>
      </c>
      <c r="Y27" t="s">
        <v>83</v>
      </c>
      <c r="Z27" t="s">
        <v>85</v>
      </c>
      <c r="AA27" t="s">
        <v>85</v>
      </c>
      <c r="AB27" t="s">
        <v>731</v>
      </c>
      <c r="AC27" t="s">
        <v>174</v>
      </c>
      <c r="AD27" t="s">
        <v>174</v>
      </c>
      <c r="AE27" t="s">
        <v>84</v>
      </c>
      <c r="AF27" t="s">
        <v>89</v>
      </c>
      <c r="AG27" t="s">
        <v>89</v>
      </c>
      <c r="AH27" t="s">
        <v>89</v>
      </c>
      <c r="AI27" t="s">
        <v>89</v>
      </c>
      <c r="AJ27" t="s">
        <v>732</v>
      </c>
      <c r="AK27" t="s">
        <v>733</v>
      </c>
      <c r="AL27" t="s">
        <v>104</v>
      </c>
      <c r="AM27" t="s">
        <v>93</v>
      </c>
      <c r="AN27" t="s">
        <v>623</v>
      </c>
      <c r="AO27" t="s">
        <v>734</v>
      </c>
      <c r="AP27" t="s">
        <v>404</v>
      </c>
      <c r="AQ27" t="s">
        <v>404</v>
      </c>
      <c r="AR27">
        <v>263924.7</v>
      </c>
      <c r="AS27">
        <v>7917741</v>
      </c>
      <c r="AT27">
        <v>1444614</v>
      </c>
      <c r="AU27">
        <v>9362355</v>
      </c>
      <c r="AV27">
        <v>16834830</v>
      </c>
      <c r="AW27">
        <v>646498</v>
      </c>
      <c r="AX27">
        <v>6825977</v>
      </c>
      <c r="AY27" t="s">
        <v>85</v>
      </c>
      <c r="AZ27">
        <v>26</v>
      </c>
      <c r="BA27" t="s">
        <v>665</v>
      </c>
      <c r="BB27" t="s">
        <v>83</v>
      </c>
      <c r="BC27" t="s">
        <v>227</v>
      </c>
      <c r="BD27" t="s">
        <v>83</v>
      </c>
      <c r="BE27">
        <v>1990</v>
      </c>
      <c r="BF27">
        <v>2012</v>
      </c>
      <c r="BG27" t="s">
        <v>515</v>
      </c>
      <c r="BH27" t="s">
        <v>151</v>
      </c>
      <c r="BI27" t="s">
        <v>100</v>
      </c>
      <c r="BJ27">
        <v>42115</v>
      </c>
      <c r="BK27" t="s">
        <v>735</v>
      </c>
      <c r="BL27" t="s">
        <v>73</v>
      </c>
      <c r="BM27" t="s">
        <v>99</v>
      </c>
      <c r="BN27" t="s">
        <v>100</v>
      </c>
      <c r="BO27">
        <v>42115</v>
      </c>
      <c r="BP27" t="s">
        <v>736</v>
      </c>
      <c r="BQ27" t="s">
        <v>73</v>
      </c>
      <c r="BR27" t="s">
        <v>102</v>
      </c>
      <c r="BS27" t="s">
        <v>73</v>
      </c>
      <c r="BT27" t="s">
        <v>73</v>
      </c>
      <c r="BU27" t="s">
        <v>73</v>
      </c>
      <c r="BV27" t="s">
        <v>73</v>
      </c>
      <c r="BW27" t="s">
        <v>737</v>
      </c>
      <c r="BX27" t="s">
        <v>737</v>
      </c>
      <c r="BY27" t="s">
        <v>104</v>
      </c>
      <c r="BZ27" t="s">
        <v>105</v>
      </c>
      <c r="CA27" t="s">
        <v>722</v>
      </c>
      <c r="CB27" t="s">
        <v>1574</v>
      </c>
      <c r="CC27" t="s">
        <v>107</v>
      </c>
      <c r="CD27" t="s">
        <v>104</v>
      </c>
      <c r="CE27" t="s">
        <v>73</v>
      </c>
      <c r="CF27" t="s">
        <v>104</v>
      </c>
      <c r="CG27" s="5" t="s">
        <v>738</v>
      </c>
      <c r="CH27" t="s">
        <v>1612</v>
      </c>
      <c r="CI27" t="s">
        <v>706</v>
      </c>
      <c r="CJ27" t="s">
        <v>707</v>
      </c>
      <c r="CK27" t="s">
        <v>104</v>
      </c>
      <c r="CL27" t="s">
        <v>688</v>
      </c>
      <c r="CM27" t="s">
        <v>1600</v>
      </c>
      <c r="CN27" t="s">
        <v>104</v>
      </c>
      <c r="CO27" t="s">
        <v>739</v>
      </c>
      <c r="CP27" t="s">
        <v>104</v>
      </c>
      <c r="CQ27" t="s">
        <v>725</v>
      </c>
      <c r="CR27"/>
      <c r="CS27" t="s">
        <v>104</v>
      </c>
      <c r="CT27" t="s">
        <v>740</v>
      </c>
      <c r="CU27"/>
      <c r="CV27" t="s">
        <v>104</v>
      </c>
      <c r="CW27" t="s">
        <v>741</v>
      </c>
      <c r="CX27"/>
      <c r="CY27" t="s">
        <v>104</v>
      </c>
      <c r="CZ27" t="s">
        <v>742</v>
      </c>
    </row>
    <row r="28" spans="1:104" s="4" customFormat="1" ht="15" customHeight="1" x14ac:dyDescent="0.2">
      <c r="A28">
        <v>1395</v>
      </c>
      <c r="B28">
        <v>811</v>
      </c>
      <c r="C28" t="s">
        <v>70</v>
      </c>
      <c r="D28" t="s">
        <v>41</v>
      </c>
      <c r="E28" t="s">
        <v>743</v>
      </c>
      <c r="F28" t="s">
        <v>4</v>
      </c>
      <c r="G28">
        <v>2022</v>
      </c>
      <c r="H28">
        <v>83452</v>
      </c>
      <c r="I28" t="s">
        <v>73</v>
      </c>
      <c r="J28">
        <v>2043</v>
      </c>
      <c r="K28">
        <v>30</v>
      </c>
      <c r="L28" t="s">
        <v>744</v>
      </c>
      <c r="M28" t="s">
        <v>117</v>
      </c>
      <c r="N28" t="s">
        <v>78</v>
      </c>
      <c r="O28" t="s">
        <v>77</v>
      </c>
      <c r="P28" t="s">
        <v>745</v>
      </c>
      <c r="Q28" t="s">
        <v>80</v>
      </c>
      <c r="R28" t="s">
        <v>82</v>
      </c>
      <c r="S28" t="s">
        <v>82</v>
      </c>
      <c r="T28" t="s">
        <v>83</v>
      </c>
      <c r="U28" t="s">
        <v>85</v>
      </c>
      <c r="V28" t="s">
        <v>746</v>
      </c>
      <c r="W28">
        <v>25182</v>
      </c>
      <c r="X28">
        <v>0.3</v>
      </c>
      <c r="Y28">
        <v>2</v>
      </c>
      <c r="Z28" t="s">
        <v>85</v>
      </c>
      <c r="AA28" t="s">
        <v>85</v>
      </c>
      <c r="AB28" t="s">
        <v>747</v>
      </c>
      <c r="AC28" t="s">
        <v>174</v>
      </c>
      <c r="AD28" t="s">
        <v>174</v>
      </c>
      <c r="AE28" t="s">
        <v>85</v>
      </c>
      <c r="AF28" t="s">
        <v>89</v>
      </c>
      <c r="AG28" t="s">
        <v>89</v>
      </c>
      <c r="AH28" t="s">
        <v>89</v>
      </c>
      <c r="AI28" t="s">
        <v>89</v>
      </c>
      <c r="AJ28">
        <v>-77.159722000000002</v>
      </c>
      <c r="AK28">
        <v>4.0052779999999997</v>
      </c>
      <c r="AL28" t="s">
        <v>92</v>
      </c>
      <c r="AM28" t="s">
        <v>93</v>
      </c>
      <c r="AN28" t="s">
        <v>748</v>
      </c>
      <c r="AO28" t="s">
        <v>700</v>
      </c>
      <c r="AP28" t="s">
        <v>404</v>
      </c>
      <c r="AQ28" t="s">
        <v>404</v>
      </c>
      <c r="AR28">
        <v>434387.03333333333</v>
      </c>
      <c r="AS28">
        <v>13031611</v>
      </c>
      <c r="AT28">
        <v>1929964</v>
      </c>
      <c r="AU28">
        <v>14961575</v>
      </c>
      <c r="AV28">
        <v>26580816</v>
      </c>
      <c r="AW28">
        <v>527852</v>
      </c>
      <c r="AX28">
        <v>11091389</v>
      </c>
      <c r="AY28" t="s">
        <v>85</v>
      </c>
      <c r="AZ28">
        <v>0.7</v>
      </c>
      <c r="BA28" t="s">
        <v>97</v>
      </c>
      <c r="BB28" t="s">
        <v>83</v>
      </c>
      <c r="BC28" t="s">
        <v>514</v>
      </c>
      <c r="BD28" t="s">
        <v>83</v>
      </c>
      <c r="BE28">
        <v>1990</v>
      </c>
      <c r="BF28">
        <v>2012</v>
      </c>
      <c r="BG28" t="s">
        <v>98</v>
      </c>
      <c r="BH28" t="s">
        <v>151</v>
      </c>
      <c r="BI28" t="s">
        <v>152</v>
      </c>
      <c r="BJ28">
        <v>44803</v>
      </c>
      <c r="BK28" t="s">
        <v>749</v>
      </c>
      <c r="BL28">
        <v>43941</v>
      </c>
      <c r="BM28" t="s">
        <v>99</v>
      </c>
      <c r="BN28" t="s">
        <v>100</v>
      </c>
      <c r="BO28">
        <v>42115</v>
      </c>
      <c r="BP28" t="s">
        <v>750</v>
      </c>
      <c r="BQ28">
        <v>43941</v>
      </c>
      <c r="BR28" t="s">
        <v>102</v>
      </c>
      <c r="BS28" t="s">
        <v>73</v>
      </c>
      <c r="BT28" t="s">
        <v>73</v>
      </c>
      <c r="BU28" t="s">
        <v>73</v>
      </c>
      <c r="BV28" t="s">
        <v>73</v>
      </c>
      <c r="BW28" t="s">
        <v>751</v>
      </c>
      <c r="BX28" t="s">
        <v>751</v>
      </c>
      <c r="BY28" t="s">
        <v>104</v>
      </c>
      <c r="BZ28" t="s">
        <v>105</v>
      </c>
      <c r="CA28" t="s">
        <v>722</v>
      </c>
      <c r="CB28" t="s">
        <v>1574</v>
      </c>
      <c r="CC28" t="s">
        <v>107</v>
      </c>
      <c r="CD28" t="s">
        <v>104</v>
      </c>
      <c r="CE28" t="s">
        <v>73</v>
      </c>
      <c r="CF28" t="s">
        <v>104</v>
      </c>
      <c r="CG28" s="5" t="s">
        <v>707</v>
      </c>
      <c r="CH28" t="s">
        <v>1612</v>
      </c>
      <c r="CI28" t="s">
        <v>706</v>
      </c>
      <c r="CJ28" t="s">
        <v>707</v>
      </c>
      <c r="CK28" t="s">
        <v>104</v>
      </c>
      <c r="CL28" t="s">
        <v>752</v>
      </c>
      <c r="CM28" t="s">
        <v>1601</v>
      </c>
      <c r="CN28" t="s">
        <v>104</v>
      </c>
      <c r="CO28" t="s">
        <v>724</v>
      </c>
      <c r="CP28" t="s">
        <v>104</v>
      </c>
      <c r="CQ28" t="s">
        <v>725</v>
      </c>
      <c r="CR28"/>
      <c r="CS28" t="s">
        <v>104</v>
      </c>
      <c r="CT28" t="s">
        <v>726</v>
      </c>
      <c r="CU28"/>
      <c r="CV28" t="s">
        <v>104</v>
      </c>
      <c r="CW28" t="s">
        <v>741</v>
      </c>
      <c r="CX28"/>
      <c r="CY28" t="s">
        <v>104</v>
      </c>
      <c r="CZ28" t="s">
        <v>742</v>
      </c>
    </row>
    <row r="29" spans="1:104" s="4" customFormat="1" ht="15" customHeight="1" x14ac:dyDescent="0.2">
      <c r="A29">
        <v>1389</v>
      </c>
      <c r="B29">
        <v>812</v>
      </c>
      <c r="C29" t="s">
        <v>70</v>
      </c>
      <c r="D29" t="s">
        <v>753</v>
      </c>
      <c r="E29" t="s">
        <v>754</v>
      </c>
      <c r="F29" t="s">
        <v>4</v>
      </c>
      <c r="G29">
        <v>2020</v>
      </c>
      <c r="H29">
        <v>58212</v>
      </c>
      <c r="I29" t="s">
        <v>73</v>
      </c>
      <c r="J29" t="s">
        <v>396</v>
      </c>
      <c r="K29">
        <v>30</v>
      </c>
      <c r="L29" t="s">
        <v>755</v>
      </c>
      <c r="M29" t="s">
        <v>117</v>
      </c>
      <c r="N29" t="s">
        <v>78</v>
      </c>
      <c r="O29" t="s">
        <v>77</v>
      </c>
      <c r="P29" t="s">
        <v>642</v>
      </c>
      <c r="Q29" t="s">
        <v>80</v>
      </c>
      <c r="R29" t="s">
        <v>82</v>
      </c>
      <c r="S29" t="s">
        <v>82</v>
      </c>
      <c r="T29" t="s">
        <v>83</v>
      </c>
      <c r="U29" t="s">
        <v>84</v>
      </c>
      <c r="V29" t="s">
        <v>83</v>
      </c>
      <c r="W29" t="s">
        <v>83</v>
      </c>
      <c r="X29" t="s">
        <v>83</v>
      </c>
      <c r="Y29" t="s">
        <v>83</v>
      </c>
      <c r="Z29" t="s">
        <v>85</v>
      </c>
      <c r="AA29" t="s">
        <v>85</v>
      </c>
      <c r="AB29" t="s">
        <v>756</v>
      </c>
      <c r="AC29" t="s">
        <v>174</v>
      </c>
      <c r="AD29" t="s">
        <v>174</v>
      </c>
      <c r="AE29" t="s">
        <v>84</v>
      </c>
      <c r="AF29" t="s">
        <v>89</v>
      </c>
      <c r="AG29" t="s">
        <v>89</v>
      </c>
      <c r="AH29" t="s">
        <v>89</v>
      </c>
      <c r="AI29" t="s">
        <v>89</v>
      </c>
      <c r="AJ29" t="s">
        <v>757</v>
      </c>
      <c r="AK29" t="s">
        <v>758</v>
      </c>
      <c r="AL29" t="s">
        <v>104</v>
      </c>
      <c r="AM29" t="s">
        <v>93</v>
      </c>
      <c r="AN29" t="s">
        <v>759</v>
      </c>
      <c r="AO29" t="s">
        <v>760</v>
      </c>
      <c r="AP29" t="s">
        <v>404</v>
      </c>
      <c r="AQ29" t="s">
        <v>404</v>
      </c>
      <c r="AR29">
        <v>351190.4</v>
      </c>
      <c r="AS29">
        <v>10535712</v>
      </c>
      <c r="AT29">
        <v>1607874</v>
      </c>
      <c r="AU29">
        <v>12143586</v>
      </c>
      <c r="AV29">
        <v>18447117</v>
      </c>
      <c r="AW29">
        <v>130131</v>
      </c>
      <c r="AX29">
        <v>6173400</v>
      </c>
      <c r="AY29" t="s">
        <v>85</v>
      </c>
      <c r="AZ29">
        <v>55</v>
      </c>
      <c r="BA29" t="s">
        <v>718</v>
      </c>
      <c r="BB29" t="s">
        <v>83</v>
      </c>
      <c r="BC29" t="s">
        <v>227</v>
      </c>
      <c r="BD29" t="s">
        <v>83</v>
      </c>
      <c r="BE29">
        <v>1998</v>
      </c>
      <c r="BF29">
        <v>2012</v>
      </c>
      <c r="BG29" t="s">
        <v>249</v>
      </c>
      <c r="BH29" t="s">
        <v>151</v>
      </c>
      <c r="BI29" t="s">
        <v>100</v>
      </c>
      <c r="BJ29">
        <v>42115</v>
      </c>
      <c r="BK29" t="s">
        <v>761</v>
      </c>
      <c r="BL29" t="s">
        <v>73</v>
      </c>
      <c r="BM29" t="s">
        <v>99</v>
      </c>
      <c r="BN29" t="s">
        <v>100</v>
      </c>
      <c r="BO29">
        <v>42115</v>
      </c>
      <c r="BP29" t="s">
        <v>762</v>
      </c>
      <c r="BQ29" t="s">
        <v>73</v>
      </c>
      <c r="BR29" t="s">
        <v>102</v>
      </c>
      <c r="BS29" t="s">
        <v>73</v>
      </c>
      <c r="BT29" t="s">
        <v>73</v>
      </c>
      <c r="BU29" t="s">
        <v>73</v>
      </c>
      <c r="BV29" t="s">
        <v>73</v>
      </c>
      <c r="BW29" t="s">
        <v>763</v>
      </c>
      <c r="BX29" t="s">
        <v>763</v>
      </c>
      <c r="BY29" t="s">
        <v>104</v>
      </c>
      <c r="BZ29" t="s">
        <v>105</v>
      </c>
      <c r="CA29" t="s">
        <v>722</v>
      </c>
      <c r="CB29" t="s">
        <v>1574</v>
      </c>
      <c r="CC29" t="s">
        <v>107</v>
      </c>
      <c r="CD29" t="s">
        <v>104</v>
      </c>
      <c r="CE29" t="s">
        <v>73</v>
      </c>
      <c r="CF29" t="s">
        <v>104</v>
      </c>
      <c r="CG29" s="5" t="s">
        <v>707</v>
      </c>
      <c r="CH29" t="s">
        <v>1612</v>
      </c>
      <c r="CI29" t="s">
        <v>706</v>
      </c>
      <c r="CJ29" t="s">
        <v>707</v>
      </c>
      <c r="CK29" t="s">
        <v>104</v>
      </c>
      <c r="CL29" t="s">
        <v>752</v>
      </c>
      <c r="CM29" t="s">
        <v>1601</v>
      </c>
      <c r="CN29" t="s">
        <v>104</v>
      </c>
      <c r="CO29" t="s">
        <v>724</v>
      </c>
      <c r="CP29" t="s">
        <v>104</v>
      </c>
      <c r="CQ29" t="s">
        <v>725</v>
      </c>
      <c r="CR29"/>
      <c r="CS29" t="s">
        <v>104</v>
      </c>
      <c r="CT29" t="s">
        <v>726</v>
      </c>
      <c r="CU29"/>
      <c r="CV29" t="s">
        <v>104</v>
      </c>
      <c r="CW29" t="s">
        <v>741</v>
      </c>
      <c r="CX29"/>
      <c r="CY29" t="s">
        <v>104</v>
      </c>
      <c r="CZ29" t="s">
        <v>742</v>
      </c>
    </row>
    <row r="30" spans="1:104" s="4" customFormat="1" ht="50" customHeight="1" x14ac:dyDescent="0.2">
      <c r="A30">
        <v>1566</v>
      </c>
      <c r="B30">
        <v>818</v>
      </c>
      <c r="C30" t="s">
        <v>70</v>
      </c>
      <c r="D30" t="s">
        <v>764</v>
      </c>
      <c r="E30" t="s">
        <v>765</v>
      </c>
      <c r="F30" t="s">
        <v>4</v>
      </c>
      <c r="G30">
        <v>2022</v>
      </c>
      <c r="H30">
        <v>1150212</v>
      </c>
      <c r="I30" t="s">
        <v>73</v>
      </c>
      <c r="J30" t="s">
        <v>217</v>
      </c>
      <c r="K30">
        <v>30</v>
      </c>
      <c r="L30" t="s">
        <v>766</v>
      </c>
      <c r="M30" t="s">
        <v>767</v>
      </c>
      <c r="N30" t="s">
        <v>77</v>
      </c>
      <c r="O30" t="s">
        <v>117</v>
      </c>
      <c r="P30" t="s">
        <v>768</v>
      </c>
      <c r="Q30" t="s">
        <v>570</v>
      </c>
      <c r="R30" t="s">
        <v>82</v>
      </c>
      <c r="S30" t="s">
        <v>82</v>
      </c>
      <c r="T30" t="s">
        <v>83</v>
      </c>
      <c r="U30" t="s">
        <v>84</v>
      </c>
      <c r="V30" t="s">
        <v>83</v>
      </c>
      <c r="W30" t="s">
        <v>83</v>
      </c>
      <c r="X30" t="s">
        <v>83</v>
      </c>
      <c r="Y30" t="s">
        <v>83</v>
      </c>
      <c r="Z30" t="s">
        <v>73</v>
      </c>
      <c r="AA30" t="s">
        <v>85</v>
      </c>
      <c r="AB30" t="s">
        <v>769</v>
      </c>
      <c r="AC30" t="s">
        <v>174</v>
      </c>
      <c r="AD30" t="s">
        <v>174</v>
      </c>
      <c r="AE30" t="s">
        <v>85</v>
      </c>
      <c r="AF30" t="s">
        <v>89</v>
      </c>
      <c r="AG30" t="s">
        <v>89</v>
      </c>
      <c r="AH30" t="s">
        <v>89</v>
      </c>
      <c r="AI30" t="s">
        <v>89</v>
      </c>
      <c r="AJ30" t="s">
        <v>770</v>
      </c>
      <c r="AK30" t="s">
        <v>771</v>
      </c>
      <c r="AL30" t="s">
        <v>92</v>
      </c>
      <c r="AM30" t="s">
        <v>93</v>
      </c>
      <c r="AN30" t="s">
        <v>772</v>
      </c>
      <c r="AO30" t="s">
        <v>773</v>
      </c>
      <c r="AP30" t="s">
        <v>426</v>
      </c>
      <c r="AQ30" t="s">
        <v>426</v>
      </c>
      <c r="AR30">
        <v>2949886.2666666666</v>
      </c>
      <c r="AS30">
        <v>88496588</v>
      </c>
      <c r="AT30">
        <v>20173974</v>
      </c>
      <c r="AU30">
        <v>108670562</v>
      </c>
      <c r="AV30">
        <v>118611611</v>
      </c>
      <c r="AW30">
        <v>9941049</v>
      </c>
      <c r="AX30">
        <v>0</v>
      </c>
      <c r="AY30" t="s">
        <v>84</v>
      </c>
      <c r="AZ30" t="s">
        <v>73</v>
      </c>
      <c r="BA30" t="s">
        <v>774</v>
      </c>
      <c r="BB30" t="s">
        <v>83</v>
      </c>
      <c r="BC30" t="s">
        <v>227</v>
      </c>
      <c r="BD30" t="s">
        <v>83</v>
      </c>
      <c r="BE30">
        <v>2018</v>
      </c>
      <c r="BF30">
        <v>2020</v>
      </c>
      <c r="BG30" t="s">
        <v>73</v>
      </c>
      <c r="BH30" t="s">
        <v>151</v>
      </c>
      <c r="BI30" t="s">
        <v>409</v>
      </c>
      <c r="BJ30" t="s">
        <v>73</v>
      </c>
      <c r="BK30" t="s">
        <v>775</v>
      </c>
      <c r="BL30" t="s">
        <v>73</v>
      </c>
      <c r="BM30" t="s">
        <v>99</v>
      </c>
      <c r="BN30" t="s">
        <v>100</v>
      </c>
      <c r="BO30">
        <v>42896</v>
      </c>
      <c r="BP30" t="s">
        <v>775</v>
      </c>
      <c r="BQ30" t="s">
        <v>73</v>
      </c>
      <c r="BR30" t="s">
        <v>102</v>
      </c>
      <c r="BS30" t="s">
        <v>73</v>
      </c>
      <c r="BT30" t="s">
        <v>73</v>
      </c>
      <c r="BU30" t="s">
        <v>73</v>
      </c>
      <c r="BV30" t="s">
        <v>73</v>
      </c>
      <c r="BW30" t="s">
        <v>776</v>
      </c>
      <c r="BX30" t="s">
        <v>776</v>
      </c>
      <c r="BY30" t="s">
        <v>73</v>
      </c>
      <c r="BZ30" t="s">
        <v>73</v>
      </c>
      <c r="CA30" t="s">
        <v>73</v>
      </c>
      <c r="CB30" t="s">
        <v>73</v>
      </c>
      <c r="CC30" t="s">
        <v>73</v>
      </c>
      <c r="CD30" t="s">
        <v>73</v>
      </c>
      <c r="CE30" t="s">
        <v>73</v>
      </c>
      <c r="CF30" t="s">
        <v>104</v>
      </c>
      <c r="CG30" s="5" t="s">
        <v>777</v>
      </c>
      <c r="CH30" t="s">
        <v>1593</v>
      </c>
      <c r="CI30" t="s">
        <v>653</v>
      </c>
      <c r="CJ30" t="s">
        <v>73</v>
      </c>
      <c r="CK30" t="s">
        <v>92</v>
      </c>
      <c r="CL30" t="s">
        <v>73</v>
      </c>
      <c r="CM30" t="s">
        <v>73</v>
      </c>
      <c r="CN30" t="s">
        <v>104</v>
      </c>
      <c r="CO30" t="s">
        <v>778</v>
      </c>
      <c r="CP30" t="s">
        <v>104</v>
      </c>
      <c r="CQ30" t="s">
        <v>779</v>
      </c>
      <c r="CR30"/>
      <c r="CS30" t="s">
        <v>73</v>
      </c>
      <c r="CT30" t="s">
        <v>73</v>
      </c>
      <c r="CU30"/>
      <c r="CV30" t="s">
        <v>73</v>
      </c>
      <c r="CW30" t="s">
        <v>73</v>
      </c>
      <c r="CX30"/>
      <c r="CY30" t="s">
        <v>73</v>
      </c>
      <c r="CZ30" t="s">
        <v>73</v>
      </c>
    </row>
    <row r="31" spans="1:104" s="4" customFormat="1" ht="51" x14ac:dyDescent="0.2">
      <c r="A31">
        <v>934</v>
      </c>
      <c r="B31">
        <v>301</v>
      </c>
      <c r="C31" t="s">
        <v>234</v>
      </c>
      <c r="D31" t="s">
        <v>780</v>
      </c>
      <c r="E31" t="s">
        <v>781</v>
      </c>
      <c r="F31" t="s">
        <v>782</v>
      </c>
      <c r="G31">
        <v>2020</v>
      </c>
      <c r="H31">
        <v>299640</v>
      </c>
      <c r="I31" t="s">
        <v>73</v>
      </c>
      <c r="J31" t="s">
        <v>136</v>
      </c>
      <c r="K31">
        <v>30</v>
      </c>
      <c r="L31" t="s">
        <v>783</v>
      </c>
      <c r="M31" t="s">
        <v>784</v>
      </c>
      <c r="N31" t="s">
        <v>117</v>
      </c>
      <c r="O31" t="s">
        <v>77</v>
      </c>
      <c r="P31" t="s">
        <v>785</v>
      </c>
      <c r="Q31" t="s">
        <v>80</v>
      </c>
      <c r="R31" t="s">
        <v>82</v>
      </c>
      <c r="S31" t="s">
        <v>82</v>
      </c>
      <c r="T31" t="s">
        <v>83</v>
      </c>
      <c r="U31" t="s">
        <v>84</v>
      </c>
      <c r="V31" t="s">
        <v>83</v>
      </c>
      <c r="W31" t="s">
        <v>83</v>
      </c>
      <c r="X31" t="s">
        <v>83</v>
      </c>
      <c r="Y31" t="s">
        <v>83</v>
      </c>
      <c r="Z31" t="s">
        <v>84</v>
      </c>
      <c r="AA31" t="s">
        <v>85</v>
      </c>
      <c r="AB31" t="s">
        <v>786</v>
      </c>
      <c r="AC31" t="s">
        <v>87</v>
      </c>
      <c r="AD31" t="s">
        <v>121</v>
      </c>
      <c r="AE31" t="s">
        <v>85</v>
      </c>
      <c r="AF31" t="s">
        <v>89</v>
      </c>
      <c r="AG31" t="s">
        <v>89</v>
      </c>
      <c r="AH31" t="s">
        <v>89</v>
      </c>
      <c r="AI31" t="s">
        <v>89</v>
      </c>
      <c r="AJ31" t="s">
        <v>787</v>
      </c>
      <c r="AK31" t="s">
        <v>788</v>
      </c>
      <c r="AL31" t="s">
        <v>92</v>
      </c>
      <c r="AM31" t="s">
        <v>789</v>
      </c>
      <c r="AN31" t="s">
        <v>790</v>
      </c>
      <c r="AO31" t="s">
        <v>791</v>
      </c>
      <c r="AP31" t="s">
        <v>792</v>
      </c>
      <c r="AQ31"/>
      <c r="AR31"/>
      <c r="AS31">
        <v>175820011</v>
      </c>
      <c r="AT31">
        <v>175820011</v>
      </c>
      <c r="AU31">
        <v>175820011</v>
      </c>
      <c r="AV31">
        <v>175820011</v>
      </c>
      <c r="AW31">
        <v>0</v>
      </c>
      <c r="AX31">
        <v>0</v>
      </c>
      <c r="AY31" t="s">
        <v>85</v>
      </c>
      <c r="AZ31" t="s">
        <v>73</v>
      </c>
      <c r="BA31" t="s">
        <v>793</v>
      </c>
      <c r="BB31" t="s">
        <v>794</v>
      </c>
      <c r="BC31" t="s">
        <v>227</v>
      </c>
      <c r="BD31" t="s">
        <v>83</v>
      </c>
      <c r="BE31">
        <v>1987</v>
      </c>
      <c r="BF31">
        <v>2011</v>
      </c>
      <c r="BG31" t="s">
        <v>228</v>
      </c>
      <c r="BH31" t="s">
        <v>99</v>
      </c>
      <c r="BI31" t="s">
        <v>100</v>
      </c>
      <c r="BJ31">
        <v>41249</v>
      </c>
      <c r="BK31" t="s">
        <v>795</v>
      </c>
      <c r="BL31">
        <v>43045</v>
      </c>
      <c r="BM31" t="s">
        <v>151</v>
      </c>
      <c r="BN31" t="s">
        <v>180</v>
      </c>
      <c r="BO31">
        <v>41249</v>
      </c>
      <c r="BP31" t="s">
        <v>796</v>
      </c>
      <c r="BQ31">
        <v>43045</v>
      </c>
      <c r="BR31" t="s">
        <v>102</v>
      </c>
      <c r="BS31" t="s">
        <v>73</v>
      </c>
      <c r="BT31" t="s">
        <v>73</v>
      </c>
      <c r="BU31" t="s">
        <v>73</v>
      </c>
      <c r="BV31" t="s">
        <v>73</v>
      </c>
      <c r="BW31" t="s">
        <v>797</v>
      </c>
      <c r="BX31" t="s">
        <v>797</v>
      </c>
      <c r="BY31" t="s">
        <v>104</v>
      </c>
      <c r="BZ31" t="s">
        <v>127</v>
      </c>
      <c r="CA31" t="s">
        <v>798</v>
      </c>
      <c r="CB31" t="s">
        <v>1575</v>
      </c>
      <c r="CC31" t="s">
        <v>107</v>
      </c>
      <c r="CD31" t="s">
        <v>104</v>
      </c>
      <c r="CE31" t="s">
        <v>799</v>
      </c>
      <c r="CF31" t="s">
        <v>104</v>
      </c>
      <c r="CG31" s="5" t="s">
        <v>800</v>
      </c>
      <c r="CH31" t="s">
        <v>1611</v>
      </c>
      <c r="CI31" t="s">
        <v>433</v>
      </c>
      <c r="CJ31" t="s">
        <v>801</v>
      </c>
      <c r="CK31" t="s">
        <v>92</v>
      </c>
      <c r="CL31" t="s">
        <v>73</v>
      </c>
      <c r="CM31" t="s">
        <v>73</v>
      </c>
      <c r="CN31" t="s">
        <v>104</v>
      </c>
      <c r="CO31" t="s">
        <v>802</v>
      </c>
      <c r="CP31" t="s">
        <v>104</v>
      </c>
      <c r="CQ31" t="s">
        <v>803</v>
      </c>
      <c r="CR31"/>
      <c r="CS31" t="s">
        <v>104</v>
      </c>
      <c r="CT31" t="s">
        <v>804</v>
      </c>
      <c r="CU31"/>
      <c r="CV31" t="s">
        <v>104</v>
      </c>
      <c r="CW31" t="s">
        <v>805</v>
      </c>
      <c r="CX31"/>
      <c r="CY31" t="s">
        <v>104</v>
      </c>
      <c r="CZ31" t="s">
        <v>806</v>
      </c>
    </row>
    <row r="32" spans="1:104" s="4" customFormat="1" ht="15" customHeight="1" x14ac:dyDescent="0.2">
      <c r="A32">
        <v>1398</v>
      </c>
      <c r="B32">
        <v>571</v>
      </c>
      <c r="C32" t="s">
        <v>167</v>
      </c>
      <c r="D32" t="s">
        <v>61</v>
      </c>
      <c r="E32" t="s">
        <v>807</v>
      </c>
      <c r="F32" t="s">
        <v>808</v>
      </c>
      <c r="G32">
        <v>2020</v>
      </c>
      <c r="H32">
        <v>240000</v>
      </c>
      <c r="I32" t="s">
        <v>73</v>
      </c>
      <c r="J32" t="s">
        <v>616</v>
      </c>
      <c r="K32">
        <v>30</v>
      </c>
      <c r="L32" t="s">
        <v>809</v>
      </c>
      <c r="M32" t="s">
        <v>78</v>
      </c>
      <c r="N32" t="s">
        <v>77</v>
      </c>
      <c r="O32" t="s">
        <v>117</v>
      </c>
      <c r="P32" t="s">
        <v>810</v>
      </c>
      <c r="Q32" t="s">
        <v>391</v>
      </c>
      <c r="R32" t="s">
        <v>82</v>
      </c>
      <c r="S32" t="s">
        <v>82</v>
      </c>
      <c r="T32" t="s">
        <v>83</v>
      </c>
      <c r="U32" t="s">
        <v>85</v>
      </c>
      <c r="V32" t="s">
        <v>811</v>
      </c>
      <c r="W32">
        <v>240000</v>
      </c>
      <c r="X32" t="s">
        <v>197</v>
      </c>
      <c r="Y32" t="s">
        <v>812</v>
      </c>
      <c r="Z32" t="s">
        <v>85</v>
      </c>
      <c r="AA32" t="s">
        <v>85</v>
      </c>
      <c r="AB32" t="s">
        <v>813</v>
      </c>
      <c r="AC32" t="s">
        <v>87</v>
      </c>
      <c r="AD32" t="s">
        <v>814</v>
      </c>
      <c r="AE32" t="s">
        <v>84</v>
      </c>
      <c r="AF32" t="s">
        <v>89</v>
      </c>
      <c r="AG32" t="s">
        <v>73</v>
      </c>
      <c r="AH32" t="s">
        <v>199</v>
      </c>
      <c r="AI32" t="s">
        <v>89</v>
      </c>
      <c r="AJ32" t="s">
        <v>815</v>
      </c>
      <c r="AK32" t="s">
        <v>816</v>
      </c>
      <c r="AL32" t="s">
        <v>92</v>
      </c>
      <c r="AM32" t="s">
        <v>574</v>
      </c>
      <c r="AN32" t="s">
        <v>817</v>
      </c>
      <c r="AO32" t="s">
        <v>818</v>
      </c>
      <c r="AP32" t="s">
        <v>205</v>
      </c>
      <c r="AQ32"/>
      <c r="AR32"/>
      <c r="AS32">
        <v>2417000</v>
      </c>
      <c r="AT32">
        <v>0</v>
      </c>
      <c r="AU32">
        <v>0</v>
      </c>
      <c r="AV32">
        <v>0</v>
      </c>
      <c r="AW32">
        <v>0</v>
      </c>
      <c r="AX32">
        <v>0</v>
      </c>
      <c r="AY32" t="s">
        <v>73</v>
      </c>
      <c r="AZ32" t="s">
        <v>73</v>
      </c>
      <c r="BA32" t="s">
        <v>73</v>
      </c>
      <c r="BB32" t="s">
        <v>73</v>
      </c>
      <c r="BC32" t="s">
        <v>73</v>
      </c>
      <c r="BD32" t="s">
        <v>73</v>
      </c>
      <c r="BE32" t="s">
        <v>73</v>
      </c>
      <c r="BF32" t="s">
        <v>73</v>
      </c>
      <c r="BG32" t="s">
        <v>73</v>
      </c>
      <c r="BH32" t="s">
        <v>151</v>
      </c>
      <c r="BI32" t="s">
        <v>819</v>
      </c>
      <c r="BJ32" t="s">
        <v>73</v>
      </c>
      <c r="BK32" t="s">
        <v>73</v>
      </c>
      <c r="BL32" t="s">
        <v>73</v>
      </c>
      <c r="BM32" t="s">
        <v>99</v>
      </c>
      <c r="BN32" t="s">
        <v>100</v>
      </c>
      <c r="BO32">
        <v>42406</v>
      </c>
      <c r="BP32" t="s">
        <v>820</v>
      </c>
      <c r="BQ32" t="s">
        <v>73</v>
      </c>
      <c r="BR32" t="s">
        <v>102</v>
      </c>
      <c r="BS32" t="s">
        <v>73</v>
      </c>
      <c r="BT32" t="s">
        <v>73</v>
      </c>
      <c r="BU32" t="s">
        <v>73</v>
      </c>
      <c r="BV32" t="s">
        <v>73</v>
      </c>
      <c r="BW32" t="s">
        <v>821</v>
      </c>
      <c r="BX32" t="s">
        <v>821</v>
      </c>
      <c r="BY32" t="s">
        <v>112</v>
      </c>
      <c r="BZ32" t="s">
        <v>822</v>
      </c>
      <c r="CA32" t="s">
        <v>823</v>
      </c>
      <c r="CB32" t="s">
        <v>1574</v>
      </c>
      <c r="CC32" t="s">
        <v>73</v>
      </c>
      <c r="CD32" t="s">
        <v>104</v>
      </c>
      <c r="CE32" t="s">
        <v>73</v>
      </c>
      <c r="CF32" t="s">
        <v>92</v>
      </c>
      <c r="CG32" s="5" t="s">
        <v>73</v>
      </c>
      <c r="CH32" t="s">
        <v>73</v>
      </c>
      <c r="CI32" t="s">
        <v>159</v>
      </c>
      <c r="CJ32" t="s">
        <v>824</v>
      </c>
      <c r="CK32" t="s">
        <v>104</v>
      </c>
      <c r="CL32" t="s">
        <v>825</v>
      </c>
      <c r="CM32" t="s">
        <v>1599</v>
      </c>
      <c r="CN32" t="s">
        <v>104</v>
      </c>
      <c r="CO32" t="s">
        <v>826</v>
      </c>
      <c r="CP32" t="s">
        <v>104</v>
      </c>
      <c r="CQ32" t="s">
        <v>827</v>
      </c>
      <c r="CR32"/>
      <c r="CS32" t="s">
        <v>104</v>
      </c>
      <c r="CT32" t="s">
        <v>828</v>
      </c>
      <c r="CU32"/>
      <c r="CV32" t="s">
        <v>104</v>
      </c>
      <c r="CW32" t="s">
        <v>829</v>
      </c>
      <c r="CX32"/>
      <c r="CY32" t="s">
        <v>73</v>
      </c>
      <c r="CZ32" t="s">
        <v>73</v>
      </c>
    </row>
    <row r="33" spans="1:104" s="4" customFormat="1" ht="17" x14ac:dyDescent="0.2">
      <c r="A33">
        <v>1311</v>
      </c>
      <c r="B33">
        <v>410</v>
      </c>
      <c r="C33" t="s">
        <v>167</v>
      </c>
      <c r="D33" t="s">
        <v>830</v>
      </c>
      <c r="E33" t="s">
        <v>831</v>
      </c>
      <c r="F33" t="s">
        <v>9</v>
      </c>
      <c r="G33">
        <v>2020</v>
      </c>
      <c r="H33">
        <v>370032</v>
      </c>
      <c r="I33" t="s">
        <v>73</v>
      </c>
      <c r="J33" t="s">
        <v>832</v>
      </c>
      <c r="K33">
        <v>30</v>
      </c>
      <c r="L33" t="s">
        <v>833</v>
      </c>
      <c r="M33" t="s">
        <v>78</v>
      </c>
      <c r="N33" t="s">
        <v>117</v>
      </c>
      <c r="O33" t="s">
        <v>77</v>
      </c>
      <c r="P33" t="s">
        <v>834</v>
      </c>
      <c r="Q33" t="s">
        <v>80</v>
      </c>
      <c r="R33" t="s">
        <v>140</v>
      </c>
      <c r="S33" t="s">
        <v>82</v>
      </c>
      <c r="T33" t="s">
        <v>835</v>
      </c>
      <c r="U33" t="s">
        <v>85</v>
      </c>
      <c r="V33" t="s">
        <v>836</v>
      </c>
      <c r="W33">
        <v>370032</v>
      </c>
      <c r="X33" t="s">
        <v>197</v>
      </c>
      <c r="Y33" t="s">
        <v>812</v>
      </c>
      <c r="Z33" t="s">
        <v>84</v>
      </c>
      <c r="AA33" t="s">
        <v>85</v>
      </c>
      <c r="AB33" t="s">
        <v>837</v>
      </c>
      <c r="AC33" t="s">
        <v>87</v>
      </c>
      <c r="AD33" t="s">
        <v>838</v>
      </c>
      <c r="AE33" t="s">
        <v>84</v>
      </c>
      <c r="AF33" t="s">
        <v>89</v>
      </c>
      <c r="AG33" t="s">
        <v>89</v>
      </c>
      <c r="AH33" t="s">
        <v>89</v>
      </c>
      <c r="AI33" t="s">
        <v>89</v>
      </c>
      <c r="AJ33" t="s">
        <v>839</v>
      </c>
      <c r="AK33" t="s">
        <v>840</v>
      </c>
      <c r="AL33" t="s">
        <v>92</v>
      </c>
      <c r="AM33" t="s">
        <v>789</v>
      </c>
      <c r="AN33" t="s">
        <v>841</v>
      </c>
      <c r="AO33" t="s">
        <v>842</v>
      </c>
      <c r="AP33" t="s">
        <v>843</v>
      </c>
      <c r="AQ33"/>
      <c r="AR33"/>
      <c r="AS33">
        <v>10119729</v>
      </c>
      <c r="AT33">
        <v>0</v>
      </c>
      <c r="AU33">
        <v>0</v>
      </c>
      <c r="AV33">
        <v>0</v>
      </c>
      <c r="AW33">
        <v>0</v>
      </c>
      <c r="AX33">
        <v>0</v>
      </c>
      <c r="AY33" t="s">
        <v>73</v>
      </c>
      <c r="AZ33" t="s">
        <v>73</v>
      </c>
      <c r="BA33" t="s">
        <v>73</v>
      </c>
      <c r="BB33" t="s">
        <v>73</v>
      </c>
      <c r="BC33" t="s">
        <v>73</v>
      </c>
      <c r="BD33" t="s">
        <v>73</v>
      </c>
      <c r="BE33" t="s">
        <v>73</v>
      </c>
      <c r="BF33" t="s">
        <v>73</v>
      </c>
      <c r="BG33" t="s">
        <v>73</v>
      </c>
      <c r="BH33" t="s">
        <v>99</v>
      </c>
      <c r="BI33" t="s">
        <v>100</v>
      </c>
      <c r="BJ33">
        <v>41935</v>
      </c>
      <c r="BK33" t="s">
        <v>844</v>
      </c>
      <c r="BL33" t="s">
        <v>73</v>
      </c>
      <c r="BM33" t="s">
        <v>151</v>
      </c>
      <c r="BN33" t="s">
        <v>409</v>
      </c>
      <c r="BO33" t="s">
        <v>73</v>
      </c>
      <c r="BP33" t="s">
        <v>193</v>
      </c>
      <c r="BQ33" t="s">
        <v>73</v>
      </c>
      <c r="BR33" t="s">
        <v>102</v>
      </c>
      <c r="BS33" t="s">
        <v>73</v>
      </c>
      <c r="BT33" t="s">
        <v>73</v>
      </c>
      <c r="BU33" t="s">
        <v>73</v>
      </c>
      <c r="BV33" t="s">
        <v>73</v>
      </c>
      <c r="BW33" t="s">
        <v>845</v>
      </c>
      <c r="BX33" t="s">
        <v>845</v>
      </c>
      <c r="BY33" t="s">
        <v>104</v>
      </c>
      <c r="BZ33" t="s">
        <v>127</v>
      </c>
      <c r="CA33" t="s">
        <v>846</v>
      </c>
      <c r="CB33" t="s">
        <v>1580</v>
      </c>
      <c r="CC33" t="s">
        <v>73</v>
      </c>
      <c r="CD33" t="s">
        <v>104</v>
      </c>
      <c r="CE33" t="s">
        <v>73</v>
      </c>
      <c r="CF33" t="s">
        <v>104</v>
      </c>
      <c r="CG33" s="5" t="s">
        <v>847</v>
      </c>
      <c r="CH33" t="s">
        <v>1611</v>
      </c>
      <c r="CI33" t="s">
        <v>848</v>
      </c>
      <c r="CJ33" t="s">
        <v>849</v>
      </c>
      <c r="CK33" t="s">
        <v>92</v>
      </c>
      <c r="CL33" t="s">
        <v>850</v>
      </c>
      <c r="CM33" t="s">
        <v>73</v>
      </c>
      <c r="CN33" t="s">
        <v>92</v>
      </c>
      <c r="CO33" t="s">
        <v>73</v>
      </c>
      <c r="CP33" t="s">
        <v>104</v>
      </c>
      <c r="CQ33" t="s">
        <v>851</v>
      </c>
      <c r="CR33"/>
      <c r="CS33" t="s">
        <v>104</v>
      </c>
      <c r="CT33" t="s">
        <v>852</v>
      </c>
      <c r="CU33"/>
      <c r="CV33" t="s">
        <v>92</v>
      </c>
      <c r="CW33" t="s">
        <v>853</v>
      </c>
      <c r="CX33"/>
      <c r="CY33" t="s">
        <v>104</v>
      </c>
      <c r="CZ33" t="s">
        <v>854</v>
      </c>
    </row>
    <row r="34" spans="1:104" s="4" customFormat="1" ht="55" customHeight="1" x14ac:dyDescent="0.2">
      <c r="A34">
        <v>1674</v>
      </c>
      <c r="B34">
        <v>446</v>
      </c>
      <c r="C34" t="s">
        <v>234</v>
      </c>
      <c r="D34" t="s">
        <v>56</v>
      </c>
      <c r="E34" t="s">
        <v>855</v>
      </c>
      <c r="F34" t="s">
        <v>10</v>
      </c>
      <c r="G34">
        <v>2020</v>
      </c>
      <c r="H34">
        <v>152799</v>
      </c>
      <c r="I34" t="s">
        <v>73</v>
      </c>
      <c r="J34" t="s">
        <v>856</v>
      </c>
      <c r="K34">
        <v>20</v>
      </c>
      <c r="L34" t="s">
        <v>857</v>
      </c>
      <c r="M34" t="s">
        <v>117</v>
      </c>
      <c r="N34" t="s">
        <v>77</v>
      </c>
      <c r="O34" t="s">
        <v>78</v>
      </c>
      <c r="P34" t="s">
        <v>858</v>
      </c>
      <c r="Q34" t="s">
        <v>859</v>
      </c>
      <c r="R34" t="s">
        <v>82</v>
      </c>
      <c r="S34" t="s">
        <v>82</v>
      </c>
      <c r="T34" t="s">
        <v>83</v>
      </c>
      <c r="U34" t="s">
        <v>85</v>
      </c>
      <c r="V34" t="s">
        <v>73</v>
      </c>
      <c r="W34" t="s">
        <v>73</v>
      </c>
      <c r="X34" t="s">
        <v>73</v>
      </c>
      <c r="Y34" t="s">
        <v>73</v>
      </c>
      <c r="Z34" t="s">
        <v>85</v>
      </c>
      <c r="AA34" t="s">
        <v>85</v>
      </c>
      <c r="AB34" t="s">
        <v>860</v>
      </c>
      <c r="AC34" t="s">
        <v>174</v>
      </c>
      <c r="AD34" t="s">
        <v>174</v>
      </c>
      <c r="AE34" t="s">
        <v>84</v>
      </c>
      <c r="AF34" t="s">
        <v>89</v>
      </c>
      <c r="AG34" t="s">
        <v>73</v>
      </c>
      <c r="AH34" t="s">
        <v>89</v>
      </c>
      <c r="AI34" t="s">
        <v>89</v>
      </c>
      <c r="AJ34" t="s">
        <v>861</v>
      </c>
      <c r="AK34" t="s">
        <v>862</v>
      </c>
      <c r="AL34" t="s">
        <v>92</v>
      </c>
      <c r="AM34" t="s">
        <v>789</v>
      </c>
      <c r="AN34" t="s">
        <v>863</v>
      </c>
      <c r="AO34" t="s">
        <v>864</v>
      </c>
      <c r="AP34" t="s">
        <v>865</v>
      </c>
      <c r="AQ34"/>
      <c r="AR34"/>
      <c r="AS34">
        <v>688212</v>
      </c>
      <c r="AT34">
        <v>619391</v>
      </c>
      <c r="AU34">
        <v>784233</v>
      </c>
      <c r="AV34">
        <v>68821</v>
      </c>
      <c r="AW34">
        <v>96021</v>
      </c>
      <c r="AX34">
        <v>0</v>
      </c>
      <c r="AY34" t="s">
        <v>85</v>
      </c>
      <c r="AZ34">
        <v>100</v>
      </c>
      <c r="BA34" t="s">
        <v>148</v>
      </c>
      <c r="BB34" t="s">
        <v>83</v>
      </c>
      <c r="BC34" t="s">
        <v>247</v>
      </c>
      <c r="BD34" t="s">
        <v>248</v>
      </c>
      <c r="BE34">
        <v>2000</v>
      </c>
      <c r="BF34">
        <v>2010</v>
      </c>
      <c r="BG34" t="s">
        <v>407</v>
      </c>
      <c r="BH34" t="s">
        <v>99</v>
      </c>
      <c r="BI34" t="s">
        <v>409</v>
      </c>
      <c r="BJ34" t="s">
        <v>73</v>
      </c>
      <c r="BK34" t="s">
        <v>866</v>
      </c>
      <c r="BL34" t="s">
        <v>73</v>
      </c>
      <c r="BM34" t="s">
        <v>151</v>
      </c>
      <c r="BN34" t="s">
        <v>867</v>
      </c>
      <c r="BO34" t="s">
        <v>73</v>
      </c>
      <c r="BP34" t="s">
        <v>181</v>
      </c>
      <c r="BQ34" t="s">
        <v>73</v>
      </c>
      <c r="BR34" t="s">
        <v>102</v>
      </c>
      <c r="BS34" t="s">
        <v>73</v>
      </c>
      <c r="BT34" t="s">
        <v>73</v>
      </c>
      <c r="BU34" t="s">
        <v>73</v>
      </c>
      <c r="BV34" t="s">
        <v>73</v>
      </c>
      <c r="BW34" t="s">
        <v>868</v>
      </c>
      <c r="BX34" t="s">
        <v>868</v>
      </c>
      <c r="BY34" t="s">
        <v>104</v>
      </c>
      <c r="BZ34" t="s">
        <v>127</v>
      </c>
      <c r="CA34" t="s">
        <v>869</v>
      </c>
      <c r="CB34" t="s">
        <v>1575</v>
      </c>
      <c r="CC34" t="s">
        <v>129</v>
      </c>
      <c r="CD34" t="s">
        <v>104</v>
      </c>
      <c r="CE34" t="s">
        <v>210</v>
      </c>
      <c r="CF34" t="s">
        <v>104</v>
      </c>
      <c r="CG34" s="5" t="s">
        <v>870</v>
      </c>
      <c r="CH34" t="s">
        <v>1588</v>
      </c>
      <c r="CI34" t="s">
        <v>871</v>
      </c>
      <c r="CJ34" t="s">
        <v>73</v>
      </c>
      <c r="CK34" t="s">
        <v>104</v>
      </c>
      <c r="CL34" t="s">
        <v>872</v>
      </c>
      <c r="CM34" t="s">
        <v>73</v>
      </c>
      <c r="CN34" t="s">
        <v>104</v>
      </c>
      <c r="CO34" t="s">
        <v>873</v>
      </c>
      <c r="CP34" t="s">
        <v>104</v>
      </c>
      <c r="CQ34" t="s">
        <v>874</v>
      </c>
      <c r="CR34"/>
      <c r="CS34" t="s">
        <v>104</v>
      </c>
      <c r="CT34" t="s">
        <v>875</v>
      </c>
      <c r="CU34"/>
      <c r="CV34" t="s">
        <v>73</v>
      </c>
      <c r="CW34" t="s">
        <v>73</v>
      </c>
      <c r="CX34"/>
      <c r="CY34" t="s">
        <v>73</v>
      </c>
      <c r="CZ34" t="s">
        <v>73</v>
      </c>
    </row>
    <row r="35" spans="1:104" s="4" customFormat="1" ht="15" customHeight="1" x14ac:dyDescent="0.2">
      <c r="A35">
        <v>1067</v>
      </c>
      <c r="B35">
        <v>201</v>
      </c>
      <c r="C35" t="s">
        <v>70</v>
      </c>
      <c r="D35" t="s">
        <v>876</v>
      </c>
      <c r="E35" t="s">
        <v>877</v>
      </c>
      <c r="F35" t="s">
        <v>5</v>
      </c>
      <c r="G35">
        <v>2020</v>
      </c>
      <c r="H35">
        <v>572514</v>
      </c>
      <c r="I35" t="s">
        <v>73</v>
      </c>
      <c r="J35" t="s">
        <v>832</v>
      </c>
      <c r="K35">
        <v>20</v>
      </c>
      <c r="L35" t="s">
        <v>878</v>
      </c>
      <c r="M35" t="s">
        <v>117</v>
      </c>
      <c r="N35" t="s">
        <v>77</v>
      </c>
      <c r="O35" t="s">
        <v>78</v>
      </c>
      <c r="P35" t="s">
        <v>879</v>
      </c>
      <c r="Q35" t="s">
        <v>80</v>
      </c>
      <c r="R35" t="s">
        <v>82</v>
      </c>
      <c r="S35" t="s">
        <v>82</v>
      </c>
      <c r="T35" t="s">
        <v>83</v>
      </c>
      <c r="U35" t="s">
        <v>85</v>
      </c>
      <c r="V35" t="s">
        <v>880</v>
      </c>
      <c r="W35" t="s">
        <v>73</v>
      </c>
      <c r="X35" t="s">
        <v>73</v>
      </c>
      <c r="Y35" t="s">
        <v>812</v>
      </c>
      <c r="Z35" t="s">
        <v>84</v>
      </c>
      <c r="AA35" t="s">
        <v>85</v>
      </c>
      <c r="AB35" t="s">
        <v>881</v>
      </c>
      <c r="AC35" t="s">
        <v>174</v>
      </c>
      <c r="AD35" t="s">
        <v>174</v>
      </c>
      <c r="AE35" t="s">
        <v>73</v>
      </c>
      <c r="AF35" t="s">
        <v>89</v>
      </c>
      <c r="AG35" t="s">
        <v>89</v>
      </c>
      <c r="AH35" t="s">
        <v>89</v>
      </c>
      <c r="AI35" t="s">
        <v>89</v>
      </c>
      <c r="AJ35" t="s">
        <v>882</v>
      </c>
      <c r="AK35" t="s">
        <v>883</v>
      </c>
      <c r="AL35" t="s">
        <v>92</v>
      </c>
      <c r="AM35" t="s">
        <v>93</v>
      </c>
      <c r="AN35" t="s">
        <v>884</v>
      </c>
      <c r="AO35" t="s">
        <v>885</v>
      </c>
      <c r="AP35" t="s">
        <v>886</v>
      </c>
      <c r="AQ35"/>
      <c r="AR35"/>
      <c r="AS35">
        <v>4577502.5</v>
      </c>
      <c r="AT35">
        <v>3982427.3</v>
      </c>
      <c r="AU35">
        <v>5138304</v>
      </c>
      <c r="AV35">
        <v>595075.30000000005</v>
      </c>
      <c r="AW35">
        <v>810176.3</v>
      </c>
      <c r="AX35">
        <v>-249374.89999999944</v>
      </c>
      <c r="AY35" t="s">
        <v>85</v>
      </c>
      <c r="AZ35">
        <v>15.75</v>
      </c>
      <c r="BA35" t="s">
        <v>148</v>
      </c>
      <c r="BB35" t="s">
        <v>83</v>
      </c>
      <c r="BC35" t="s">
        <v>149</v>
      </c>
      <c r="BD35" t="s">
        <v>83</v>
      </c>
      <c r="BE35">
        <v>2000</v>
      </c>
      <c r="BF35">
        <v>2010</v>
      </c>
      <c r="BG35" t="s">
        <v>228</v>
      </c>
      <c r="BH35" t="s">
        <v>151</v>
      </c>
      <c r="BI35" t="s">
        <v>100</v>
      </c>
      <c r="BJ35">
        <v>42916</v>
      </c>
      <c r="BK35" t="s">
        <v>887</v>
      </c>
      <c r="BL35" t="s">
        <v>73</v>
      </c>
      <c r="BM35" t="s">
        <v>99</v>
      </c>
      <c r="BN35" t="s">
        <v>100</v>
      </c>
      <c r="BO35">
        <v>41081</v>
      </c>
      <c r="BP35" t="s">
        <v>888</v>
      </c>
      <c r="BQ35" t="s">
        <v>73</v>
      </c>
      <c r="BR35" t="s">
        <v>102</v>
      </c>
      <c r="BS35" t="s">
        <v>73</v>
      </c>
      <c r="BT35" t="s">
        <v>73</v>
      </c>
      <c r="BU35" t="s">
        <v>73</v>
      </c>
      <c r="BV35" t="s">
        <v>73</v>
      </c>
      <c r="BW35" t="s">
        <v>889</v>
      </c>
      <c r="BX35" t="s">
        <v>889</v>
      </c>
      <c r="BY35" t="s">
        <v>104</v>
      </c>
      <c r="BZ35" t="s">
        <v>105</v>
      </c>
      <c r="CA35" t="s">
        <v>890</v>
      </c>
      <c r="CB35" t="s">
        <v>1574</v>
      </c>
      <c r="CC35" t="s">
        <v>107</v>
      </c>
      <c r="CD35" t="s">
        <v>73</v>
      </c>
      <c r="CE35" t="s">
        <v>73</v>
      </c>
      <c r="CF35" t="s">
        <v>104</v>
      </c>
      <c r="CG35" s="5" t="s">
        <v>891</v>
      </c>
      <c r="CH35" t="s">
        <v>1586</v>
      </c>
      <c r="CI35" t="s">
        <v>892</v>
      </c>
      <c r="CJ35" t="s">
        <v>893</v>
      </c>
      <c r="CK35" t="s">
        <v>92</v>
      </c>
      <c r="CL35" t="s">
        <v>73</v>
      </c>
      <c r="CM35" t="s">
        <v>73</v>
      </c>
      <c r="CN35" t="s">
        <v>92</v>
      </c>
      <c r="CO35" t="s">
        <v>73</v>
      </c>
      <c r="CP35" t="s">
        <v>104</v>
      </c>
      <c r="CQ35" t="s">
        <v>894</v>
      </c>
      <c r="CR35"/>
      <c r="CS35" t="s">
        <v>92</v>
      </c>
      <c r="CT35" t="s">
        <v>112</v>
      </c>
      <c r="CU35"/>
      <c r="CV35" t="s">
        <v>92</v>
      </c>
      <c r="CW35" t="s">
        <v>112</v>
      </c>
      <c r="CX35"/>
      <c r="CY35" t="s">
        <v>92</v>
      </c>
      <c r="CZ35" t="s">
        <v>112</v>
      </c>
    </row>
    <row r="36" spans="1:104" s="4" customFormat="1" ht="15" customHeight="1" x14ac:dyDescent="0.2">
      <c r="A36">
        <v>958</v>
      </c>
      <c r="B36">
        <v>202</v>
      </c>
      <c r="C36" t="s">
        <v>70</v>
      </c>
      <c r="D36" t="s">
        <v>895</v>
      </c>
      <c r="E36" t="s">
        <v>896</v>
      </c>
      <c r="F36" t="s">
        <v>5</v>
      </c>
      <c r="G36">
        <v>2020</v>
      </c>
      <c r="H36">
        <v>313687</v>
      </c>
      <c r="I36" t="s">
        <v>73</v>
      </c>
      <c r="J36" t="s">
        <v>897</v>
      </c>
      <c r="K36">
        <v>80</v>
      </c>
      <c r="L36" t="s">
        <v>898</v>
      </c>
      <c r="M36" t="s">
        <v>78</v>
      </c>
      <c r="N36" t="s">
        <v>77</v>
      </c>
      <c r="O36" t="s">
        <v>117</v>
      </c>
      <c r="P36" t="s">
        <v>899</v>
      </c>
      <c r="Q36" t="s">
        <v>80</v>
      </c>
      <c r="R36" t="s">
        <v>140</v>
      </c>
      <c r="S36" t="s">
        <v>82</v>
      </c>
      <c r="T36" t="s">
        <v>900</v>
      </c>
      <c r="U36" t="s">
        <v>84</v>
      </c>
      <c r="V36" t="s">
        <v>83</v>
      </c>
      <c r="W36" t="s">
        <v>83</v>
      </c>
      <c r="X36" t="s">
        <v>83</v>
      </c>
      <c r="Y36" t="s">
        <v>83</v>
      </c>
      <c r="Z36" t="s">
        <v>84</v>
      </c>
      <c r="AA36" t="s">
        <v>85</v>
      </c>
      <c r="AB36" t="s">
        <v>901</v>
      </c>
      <c r="AC36" t="s">
        <v>121</v>
      </c>
      <c r="AD36" t="s">
        <v>121</v>
      </c>
      <c r="AE36" t="s">
        <v>85</v>
      </c>
      <c r="AF36" t="s">
        <v>89</v>
      </c>
      <c r="AG36" t="s">
        <v>89</v>
      </c>
      <c r="AH36" t="s">
        <v>89</v>
      </c>
      <c r="AI36" t="s">
        <v>89</v>
      </c>
      <c r="AJ36" t="s">
        <v>902</v>
      </c>
      <c r="AK36" t="s">
        <v>903</v>
      </c>
      <c r="AL36" t="s">
        <v>92</v>
      </c>
      <c r="AM36" t="s">
        <v>93</v>
      </c>
      <c r="AN36" t="s">
        <v>904</v>
      </c>
      <c r="AO36" t="s">
        <v>905</v>
      </c>
      <c r="AP36" t="s">
        <v>906</v>
      </c>
      <c r="AQ36"/>
      <c r="AR36"/>
      <c r="AS36">
        <v>8788871</v>
      </c>
      <c r="AT36">
        <v>7750611</v>
      </c>
      <c r="AU36">
        <v>10382600</v>
      </c>
      <c r="AV36">
        <v>1038263</v>
      </c>
      <c r="AW36">
        <v>1593729</v>
      </c>
      <c r="AX36">
        <v>-3</v>
      </c>
      <c r="AY36" t="s">
        <v>104</v>
      </c>
      <c r="AZ36">
        <v>90</v>
      </c>
      <c r="BA36" t="s">
        <v>718</v>
      </c>
      <c r="BB36" t="s">
        <v>83</v>
      </c>
      <c r="BC36" t="s">
        <v>247</v>
      </c>
      <c r="BD36" t="s">
        <v>248</v>
      </c>
      <c r="BE36">
        <v>2001</v>
      </c>
      <c r="BF36">
        <v>2010</v>
      </c>
      <c r="BG36" t="s">
        <v>515</v>
      </c>
      <c r="BH36" t="s">
        <v>151</v>
      </c>
      <c r="BI36" t="s">
        <v>100</v>
      </c>
      <c r="BJ36">
        <v>42299</v>
      </c>
      <c r="BK36" t="s">
        <v>907</v>
      </c>
      <c r="BL36" t="s">
        <v>73</v>
      </c>
      <c r="BM36" t="s">
        <v>99</v>
      </c>
      <c r="BN36" t="s">
        <v>100</v>
      </c>
      <c r="BO36">
        <v>41296</v>
      </c>
      <c r="BP36" t="s">
        <v>908</v>
      </c>
      <c r="BQ36" t="s">
        <v>73</v>
      </c>
      <c r="BR36" t="s">
        <v>102</v>
      </c>
      <c r="BS36" t="s">
        <v>73</v>
      </c>
      <c r="BT36" t="s">
        <v>73</v>
      </c>
      <c r="BU36" t="s">
        <v>73</v>
      </c>
      <c r="BV36" t="s">
        <v>73</v>
      </c>
      <c r="BW36" t="s">
        <v>909</v>
      </c>
      <c r="BX36" t="s">
        <v>909</v>
      </c>
      <c r="BY36" t="s">
        <v>104</v>
      </c>
      <c r="BZ36" t="s">
        <v>127</v>
      </c>
      <c r="CA36" t="s">
        <v>910</v>
      </c>
      <c r="CB36" t="s">
        <v>1575</v>
      </c>
      <c r="CC36" t="s">
        <v>129</v>
      </c>
      <c r="CD36" t="s">
        <v>104</v>
      </c>
      <c r="CE36" t="s">
        <v>210</v>
      </c>
      <c r="CF36" t="s">
        <v>104</v>
      </c>
      <c r="CG36" s="5" t="s">
        <v>911</v>
      </c>
      <c r="CH36" t="s">
        <v>1610</v>
      </c>
      <c r="CI36" t="s">
        <v>912</v>
      </c>
      <c r="CJ36" t="s">
        <v>913</v>
      </c>
      <c r="CK36" t="s">
        <v>104</v>
      </c>
      <c r="CL36" t="s">
        <v>914</v>
      </c>
      <c r="CM36" t="s">
        <v>1599</v>
      </c>
      <c r="CN36" t="s">
        <v>104</v>
      </c>
      <c r="CO36" t="s">
        <v>915</v>
      </c>
      <c r="CP36" t="s">
        <v>104</v>
      </c>
      <c r="CQ36" t="s">
        <v>916</v>
      </c>
      <c r="CR36"/>
      <c r="CS36" t="s">
        <v>104</v>
      </c>
      <c r="CT36" t="s">
        <v>917</v>
      </c>
      <c r="CU36"/>
      <c r="CV36" t="s">
        <v>92</v>
      </c>
      <c r="CW36" t="s">
        <v>112</v>
      </c>
      <c r="CX36"/>
      <c r="CY36" t="s">
        <v>104</v>
      </c>
      <c r="CZ36" t="s">
        <v>918</v>
      </c>
    </row>
    <row r="37" spans="1:104" s="4" customFormat="1" ht="15" customHeight="1" x14ac:dyDescent="0.2">
      <c r="A37">
        <v>944</v>
      </c>
      <c r="B37">
        <v>204</v>
      </c>
      <c r="C37" t="s">
        <v>70</v>
      </c>
      <c r="D37" t="s">
        <v>47</v>
      </c>
      <c r="E37" t="s">
        <v>919</v>
      </c>
      <c r="F37" t="s">
        <v>5</v>
      </c>
      <c r="G37">
        <v>2020</v>
      </c>
      <c r="H37">
        <v>182000</v>
      </c>
      <c r="I37" t="s">
        <v>73</v>
      </c>
      <c r="J37" t="s">
        <v>832</v>
      </c>
      <c r="K37">
        <v>21</v>
      </c>
      <c r="L37" t="s">
        <v>920</v>
      </c>
      <c r="M37" t="s">
        <v>138</v>
      </c>
      <c r="N37" t="s">
        <v>78</v>
      </c>
      <c r="O37" t="s">
        <v>117</v>
      </c>
      <c r="P37" t="s">
        <v>921</v>
      </c>
      <c r="Q37" t="s">
        <v>80</v>
      </c>
      <c r="R37" t="s">
        <v>82</v>
      </c>
      <c r="S37" t="s">
        <v>82</v>
      </c>
      <c r="T37" t="s">
        <v>83</v>
      </c>
      <c r="U37" t="s">
        <v>85</v>
      </c>
      <c r="V37" t="s">
        <v>922</v>
      </c>
      <c r="W37">
        <v>182000</v>
      </c>
      <c r="X37" t="s">
        <v>197</v>
      </c>
      <c r="Y37" t="s">
        <v>812</v>
      </c>
      <c r="Z37" t="s">
        <v>84</v>
      </c>
      <c r="AA37" t="s">
        <v>85</v>
      </c>
      <c r="AB37" t="s">
        <v>923</v>
      </c>
      <c r="AC37" t="s">
        <v>87</v>
      </c>
      <c r="AD37" t="s">
        <v>838</v>
      </c>
      <c r="AE37" t="s">
        <v>73</v>
      </c>
      <c r="AF37" t="s">
        <v>89</v>
      </c>
      <c r="AG37" t="s">
        <v>89</v>
      </c>
      <c r="AH37" t="s">
        <v>89</v>
      </c>
      <c r="AI37" t="s">
        <v>89</v>
      </c>
      <c r="AJ37" t="s">
        <v>924</v>
      </c>
      <c r="AK37" t="s">
        <v>925</v>
      </c>
      <c r="AL37" t="s">
        <v>92</v>
      </c>
      <c r="AM37" t="s">
        <v>93</v>
      </c>
      <c r="AN37" t="s">
        <v>904</v>
      </c>
      <c r="AO37" t="s">
        <v>926</v>
      </c>
      <c r="AP37" t="s">
        <v>927</v>
      </c>
      <c r="AQ37"/>
      <c r="AR37"/>
      <c r="AS37">
        <v>889110</v>
      </c>
      <c r="AT37">
        <v>889110</v>
      </c>
      <c r="AU37">
        <v>987901</v>
      </c>
      <c r="AV37">
        <v>98791</v>
      </c>
      <c r="AW37" t="s">
        <v>73</v>
      </c>
      <c r="AX37">
        <v>0</v>
      </c>
      <c r="AY37" t="s">
        <v>85</v>
      </c>
      <c r="AZ37">
        <v>26.05</v>
      </c>
      <c r="BA37" t="s">
        <v>602</v>
      </c>
      <c r="BB37" t="s">
        <v>83</v>
      </c>
      <c r="BC37" t="s">
        <v>149</v>
      </c>
      <c r="BD37" t="s">
        <v>83</v>
      </c>
      <c r="BE37">
        <v>2008</v>
      </c>
      <c r="BF37">
        <v>2020</v>
      </c>
      <c r="BG37" t="s">
        <v>98</v>
      </c>
      <c r="BH37" t="s">
        <v>151</v>
      </c>
      <c r="BI37" t="s">
        <v>100</v>
      </c>
      <c r="BJ37" t="s">
        <v>928</v>
      </c>
      <c r="BK37" t="s">
        <v>929</v>
      </c>
      <c r="BL37" t="s">
        <v>73</v>
      </c>
      <c r="BM37" t="s">
        <v>99</v>
      </c>
      <c r="BN37" t="s">
        <v>100</v>
      </c>
      <c r="BO37">
        <v>41120</v>
      </c>
      <c r="BP37" t="s">
        <v>930</v>
      </c>
      <c r="BQ37" t="s">
        <v>73</v>
      </c>
      <c r="BR37" t="s">
        <v>102</v>
      </c>
      <c r="BS37" t="s">
        <v>73</v>
      </c>
      <c r="BT37" t="s">
        <v>73</v>
      </c>
      <c r="BU37" t="s">
        <v>73</v>
      </c>
      <c r="BV37" t="s">
        <v>73</v>
      </c>
      <c r="BW37" t="s">
        <v>931</v>
      </c>
      <c r="BX37" t="s">
        <v>931</v>
      </c>
      <c r="BY37" t="s">
        <v>104</v>
      </c>
      <c r="BZ37" t="s">
        <v>105</v>
      </c>
      <c r="CA37" t="s">
        <v>932</v>
      </c>
      <c r="CB37" t="s">
        <v>1574</v>
      </c>
      <c r="CC37" t="s">
        <v>107</v>
      </c>
      <c r="CD37" t="s">
        <v>73</v>
      </c>
      <c r="CE37" t="s">
        <v>73</v>
      </c>
      <c r="CF37" t="s">
        <v>104</v>
      </c>
      <c r="CG37" s="5" t="s">
        <v>933</v>
      </c>
      <c r="CH37" t="s">
        <v>1609</v>
      </c>
      <c r="CI37" t="s">
        <v>391</v>
      </c>
      <c r="CJ37" t="s">
        <v>934</v>
      </c>
      <c r="CK37" t="s">
        <v>92</v>
      </c>
      <c r="CL37" t="s">
        <v>73</v>
      </c>
      <c r="CM37" t="s">
        <v>73</v>
      </c>
      <c r="CN37" t="s">
        <v>104</v>
      </c>
      <c r="CO37" t="s">
        <v>935</v>
      </c>
      <c r="CP37" t="s">
        <v>104</v>
      </c>
      <c r="CQ37" t="s">
        <v>936</v>
      </c>
      <c r="CR37"/>
      <c r="CS37" t="s">
        <v>104</v>
      </c>
      <c r="CT37" t="s">
        <v>937</v>
      </c>
      <c r="CU37"/>
      <c r="CV37" t="s">
        <v>104</v>
      </c>
      <c r="CW37" t="s">
        <v>938</v>
      </c>
      <c r="CX37"/>
      <c r="CY37" t="s">
        <v>104</v>
      </c>
      <c r="CZ37" t="s">
        <v>939</v>
      </c>
    </row>
    <row r="38" spans="1:104" s="4" customFormat="1" ht="53" customHeight="1" x14ac:dyDescent="0.2">
      <c r="A38">
        <v>844</v>
      </c>
      <c r="B38">
        <v>205</v>
      </c>
      <c r="C38" t="s">
        <v>70</v>
      </c>
      <c r="D38" t="s">
        <v>940</v>
      </c>
      <c r="E38" t="s">
        <v>193</v>
      </c>
      <c r="F38" t="s">
        <v>5</v>
      </c>
      <c r="G38">
        <v>2020</v>
      </c>
      <c r="H38">
        <v>100000</v>
      </c>
      <c r="I38" t="s">
        <v>73</v>
      </c>
      <c r="J38" t="s">
        <v>941</v>
      </c>
      <c r="K38">
        <v>40</v>
      </c>
      <c r="L38" t="s">
        <v>942</v>
      </c>
      <c r="M38" t="s">
        <v>117</v>
      </c>
      <c r="N38" t="s">
        <v>943</v>
      </c>
      <c r="O38" t="s">
        <v>78</v>
      </c>
      <c r="P38" t="s">
        <v>944</v>
      </c>
      <c r="Q38" t="s">
        <v>80</v>
      </c>
      <c r="R38" t="s">
        <v>81</v>
      </c>
      <c r="S38" t="s">
        <v>82</v>
      </c>
      <c r="T38" t="s">
        <v>83</v>
      </c>
      <c r="U38" t="s">
        <v>84</v>
      </c>
      <c r="V38" t="s">
        <v>83</v>
      </c>
      <c r="W38" t="s">
        <v>83</v>
      </c>
      <c r="X38" t="s">
        <v>83</v>
      </c>
      <c r="Y38" t="s">
        <v>83</v>
      </c>
      <c r="Z38" t="s">
        <v>73</v>
      </c>
      <c r="AA38" t="s">
        <v>85</v>
      </c>
      <c r="AB38" t="s">
        <v>945</v>
      </c>
      <c r="AC38" t="s">
        <v>87</v>
      </c>
      <c r="AD38" t="s">
        <v>88</v>
      </c>
      <c r="AE38" t="s">
        <v>73</v>
      </c>
      <c r="AF38" t="s">
        <v>89</v>
      </c>
      <c r="AG38" t="s">
        <v>89</v>
      </c>
      <c r="AH38" t="s">
        <v>89</v>
      </c>
      <c r="AI38" t="s">
        <v>89</v>
      </c>
      <c r="AJ38" t="s">
        <v>946</v>
      </c>
      <c r="AK38" t="s">
        <v>947</v>
      </c>
      <c r="AL38" t="s">
        <v>92</v>
      </c>
      <c r="AM38" t="s">
        <v>93</v>
      </c>
      <c r="AN38" t="s">
        <v>948</v>
      </c>
      <c r="AO38" t="s">
        <v>949</v>
      </c>
      <c r="AP38" t="s">
        <v>950</v>
      </c>
      <c r="AQ38"/>
      <c r="AR38"/>
      <c r="AS38">
        <v>25072135</v>
      </c>
      <c r="AT38">
        <v>22309475</v>
      </c>
      <c r="AU38">
        <v>27626601</v>
      </c>
      <c r="AV38">
        <v>2762660</v>
      </c>
      <c r="AW38">
        <v>2554466</v>
      </c>
      <c r="AX38">
        <v>0</v>
      </c>
      <c r="AY38" t="s">
        <v>85</v>
      </c>
      <c r="AZ38">
        <v>90</v>
      </c>
      <c r="BA38" t="s">
        <v>148</v>
      </c>
      <c r="BB38" t="s">
        <v>83</v>
      </c>
      <c r="BC38" t="s">
        <v>149</v>
      </c>
      <c r="BD38" t="s">
        <v>83</v>
      </c>
      <c r="BE38">
        <v>2000</v>
      </c>
      <c r="BF38">
        <v>2008</v>
      </c>
      <c r="BG38" t="s">
        <v>407</v>
      </c>
      <c r="BH38" t="s">
        <v>151</v>
      </c>
      <c r="BI38" t="s">
        <v>100</v>
      </c>
      <c r="BJ38">
        <v>41640</v>
      </c>
      <c r="BK38" t="s">
        <v>951</v>
      </c>
      <c r="BL38" t="s">
        <v>73</v>
      </c>
      <c r="BM38" t="s">
        <v>99</v>
      </c>
      <c r="BN38" t="s">
        <v>100</v>
      </c>
      <c r="BO38">
        <v>41172</v>
      </c>
      <c r="BP38" t="s">
        <v>952</v>
      </c>
      <c r="BQ38" t="s">
        <v>73</v>
      </c>
      <c r="BR38" t="s">
        <v>429</v>
      </c>
      <c r="BS38" t="s">
        <v>100</v>
      </c>
      <c r="BT38">
        <v>41426</v>
      </c>
      <c r="BU38" t="s">
        <v>73</v>
      </c>
      <c r="BV38" t="s">
        <v>73</v>
      </c>
      <c r="BW38" t="s">
        <v>953</v>
      </c>
      <c r="BX38" t="s">
        <v>953</v>
      </c>
      <c r="BY38" t="s">
        <v>104</v>
      </c>
      <c r="BZ38" t="s">
        <v>127</v>
      </c>
      <c r="CA38" t="s">
        <v>954</v>
      </c>
      <c r="CB38" t="s">
        <v>1579</v>
      </c>
      <c r="CC38" t="s">
        <v>107</v>
      </c>
      <c r="CD38" t="s">
        <v>73</v>
      </c>
      <c r="CE38" t="s">
        <v>73</v>
      </c>
      <c r="CF38" t="s">
        <v>104</v>
      </c>
      <c r="CG38" s="5" t="s">
        <v>955</v>
      </c>
      <c r="CH38" t="s">
        <v>1608</v>
      </c>
      <c r="CI38" t="s">
        <v>956</v>
      </c>
      <c r="CJ38" t="s">
        <v>957</v>
      </c>
      <c r="CK38" t="s">
        <v>92</v>
      </c>
      <c r="CL38" t="s">
        <v>958</v>
      </c>
      <c r="CM38" t="s">
        <v>73</v>
      </c>
      <c r="CN38" t="s">
        <v>104</v>
      </c>
      <c r="CO38" t="s">
        <v>959</v>
      </c>
      <c r="CP38" t="s">
        <v>104</v>
      </c>
      <c r="CQ38" t="s">
        <v>960</v>
      </c>
      <c r="CR38"/>
      <c r="CS38" t="s">
        <v>104</v>
      </c>
      <c r="CT38" t="s">
        <v>961</v>
      </c>
      <c r="CU38"/>
      <c r="CV38" t="s">
        <v>104</v>
      </c>
      <c r="CW38" t="s">
        <v>962</v>
      </c>
      <c r="CX38"/>
      <c r="CY38" t="s">
        <v>104</v>
      </c>
      <c r="CZ38" t="s">
        <v>963</v>
      </c>
    </row>
    <row r="39" spans="1:104" s="4" customFormat="1" ht="35" customHeight="1" x14ac:dyDescent="0.2">
      <c r="A39">
        <v>985</v>
      </c>
      <c r="B39">
        <v>215</v>
      </c>
      <c r="C39" t="s">
        <v>70</v>
      </c>
      <c r="D39" t="s">
        <v>964</v>
      </c>
      <c r="E39" t="s">
        <v>49</v>
      </c>
      <c r="F39" t="s">
        <v>5</v>
      </c>
      <c r="G39">
        <v>2020</v>
      </c>
      <c r="H39">
        <v>3650000</v>
      </c>
      <c r="I39" t="s">
        <v>73</v>
      </c>
      <c r="J39" t="s">
        <v>965</v>
      </c>
      <c r="K39">
        <v>22</v>
      </c>
      <c r="L39" t="s">
        <v>966</v>
      </c>
      <c r="M39" t="s">
        <v>78</v>
      </c>
      <c r="N39" t="s">
        <v>117</v>
      </c>
      <c r="O39" t="s">
        <v>77</v>
      </c>
      <c r="P39" t="s">
        <v>967</v>
      </c>
      <c r="Q39" t="s">
        <v>80</v>
      </c>
      <c r="R39" t="s">
        <v>81</v>
      </c>
      <c r="S39" t="s">
        <v>82</v>
      </c>
      <c r="T39" t="s">
        <v>83</v>
      </c>
      <c r="U39" t="s">
        <v>85</v>
      </c>
      <c r="V39" t="s">
        <v>968</v>
      </c>
      <c r="W39">
        <v>3650000</v>
      </c>
      <c r="X39" t="s">
        <v>197</v>
      </c>
      <c r="Y39" t="s">
        <v>969</v>
      </c>
      <c r="Z39" t="s">
        <v>84</v>
      </c>
      <c r="AA39" t="s">
        <v>85</v>
      </c>
      <c r="AB39" t="s">
        <v>970</v>
      </c>
      <c r="AC39" t="s">
        <v>87</v>
      </c>
      <c r="AD39" t="s">
        <v>87</v>
      </c>
      <c r="AE39" t="s">
        <v>73</v>
      </c>
      <c r="AF39" t="s">
        <v>89</v>
      </c>
      <c r="AG39" t="s">
        <v>89</v>
      </c>
      <c r="AH39" t="s">
        <v>89</v>
      </c>
      <c r="AI39" t="s">
        <v>89</v>
      </c>
      <c r="AJ39" t="s">
        <v>971</v>
      </c>
      <c r="AK39" t="s">
        <v>972</v>
      </c>
      <c r="AL39" t="s">
        <v>92</v>
      </c>
      <c r="AM39" t="s">
        <v>93</v>
      </c>
      <c r="AN39" t="s">
        <v>973</v>
      </c>
      <c r="AO39" t="s">
        <v>974</v>
      </c>
      <c r="AP39" t="s">
        <v>927</v>
      </c>
      <c r="AQ39"/>
      <c r="AR39"/>
      <c r="AS39">
        <v>15752683</v>
      </c>
      <c r="AT39">
        <v>15752683</v>
      </c>
      <c r="AU39">
        <v>26073880</v>
      </c>
      <c r="AV39">
        <v>2607387</v>
      </c>
      <c r="AW39">
        <v>7713804</v>
      </c>
      <c r="AX39">
        <v>6</v>
      </c>
      <c r="AY39" t="s">
        <v>85</v>
      </c>
      <c r="AZ39">
        <v>100</v>
      </c>
      <c r="BA39" t="s">
        <v>365</v>
      </c>
      <c r="BB39" t="s">
        <v>83</v>
      </c>
      <c r="BC39" t="s">
        <v>227</v>
      </c>
      <c r="BD39" t="s">
        <v>83</v>
      </c>
      <c r="BE39">
        <v>1989</v>
      </c>
      <c r="BF39">
        <v>2003</v>
      </c>
      <c r="BG39" t="s">
        <v>975</v>
      </c>
      <c r="BH39" t="s">
        <v>99</v>
      </c>
      <c r="BI39" t="s">
        <v>100</v>
      </c>
      <c r="BJ39">
        <v>41306</v>
      </c>
      <c r="BK39" t="s">
        <v>976</v>
      </c>
      <c r="BL39" t="s">
        <v>73</v>
      </c>
      <c r="BM39" t="s">
        <v>151</v>
      </c>
      <c r="BN39" t="s">
        <v>100</v>
      </c>
      <c r="BO39">
        <v>41324</v>
      </c>
      <c r="BP39" t="s">
        <v>181</v>
      </c>
      <c r="BQ39" t="s">
        <v>73</v>
      </c>
      <c r="BR39" t="s">
        <v>102</v>
      </c>
      <c r="BS39" t="s">
        <v>73</v>
      </c>
      <c r="BT39" t="s">
        <v>73</v>
      </c>
      <c r="BU39" t="s">
        <v>73</v>
      </c>
      <c r="BV39" t="s">
        <v>73</v>
      </c>
      <c r="BW39" t="s">
        <v>977</v>
      </c>
      <c r="BX39" t="s">
        <v>977</v>
      </c>
      <c r="BY39" t="s">
        <v>104</v>
      </c>
      <c r="BZ39" t="s">
        <v>127</v>
      </c>
      <c r="CA39" t="s">
        <v>209</v>
      </c>
      <c r="CB39" t="s">
        <v>1575</v>
      </c>
      <c r="CC39" t="s">
        <v>129</v>
      </c>
      <c r="CD39" t="s">
        <v>104</v>
      </c>
      <c r="CE39" t="s">
        <v>73</v>
      </c>
      <c r="CF39" t="s">
        <v>104</v>
      </c>
      <c r="CG39" s="5" t="s">
        <v>978</v>
      </c>
      <c r="CH39" t="s">
        <v>1586</v>
      </c>
      <c r="CI39" t="s">
        <v>979</v>
      </c>
      <c r="CJ39" t="s">
        <v>980</v>
      </c>
      <c r="CK39" t="s">
        <v>104</v>
      </c>
      <c r="CL39" t="s">
        <v>981</v>
      </c>
      <c r="CM39" t="s">
        <v>1601</v>
      </c>
      <c r="CN39" t="s">
        <v>104</v>
      </c>
      <c r="CO39" t="s">
        <v>978</v>
      </c>
      <c r="CP39" t="s">
        <v>104</v>
      </c>
      <c r="CQ39" t="s">
        <v>982</v>
      </c>
      <c r="CR39"/>
      <c r="CS39" t="s">
        <v>73</v>
      </c>
      <c r="CT39" t="s">
        <v>73</v>
      </c>
      <c r="CU39"/>
      <c r="CV39" t="s">
        <v>73</v>
      </c>
      <c r="CW39" t="s">
        <v>73</v>
      </c>
      <c r="CX39"/>
      <c r="CY39" t="s">
        <v>73</v>
      </c>
      <c r="CZ39" t="s">
        <v>73</v>
      </c>
    </row>
    <row r="40" spans="1:104" s="4" customFormat="1" ht="15" customHeight="1" x14ac:dyDescent="0.2">
      <c r="A40">
        <v>1218</v>
      </c>
      <c r="B40">
        <v>221</v>
      </c>
      <c r="C40" t="s">
        <v>70</v>
      </c>
      <c r="D40" t="s">
        <v>983</v>
      </c>
      <c r="E40" t="s">
        <v>984</v>
      </c>
      <c r="F40" t="s">
        <v>5</v>
      </c>
      <c r="G40">
        <v>2020</v>
      </c>
      <c r="H40">
        <v>7749</v>
      </c>
      <c r="I40" t="s">
        <v>73</v>
      </c>
      <c r="J40" t="s">
        <v>856</v>
      </c>
      <c r="K40">
        <v>20</v>
      </c>
      <c r="L40" t="s">
        <v>985</v>
      </c>
      <c r="M40" t="s">
        <v>78</v>
      </c>
      <c r="N40" t="s">
        <v>117</v>
      </c>
      <c r="O40" t="s">
        <v>118</v>
      </c>
      <c r="P40" t="s">
        <v>172</v>
      </c>
      <c r="Q40" t="s">
        <v>80</v>
      </c>
      <c r="R40" t="s">
        <v>82</v>
      </c>
      <c r="S40" t="s">
        <v>82</v>
      </c>
      <c r="T40" t="s">
        <v>83</v>
      </c>
      <c r="U40" t="s">
        <v>84</v>
      </c>
      <c r="V40" t="s">
        <v>83</v>
      </c>
      <c r="W40" t="s">
        <v>83</v>
      </c>
      <c r="X40" t="s">
        <v>83</v>
      </c>
      <c r="Y40" t="s">
        <v>83</v>
      </c>
      <c r="Z40" t="s">
        <v>73</v>
      </c>
      <c r="AA40" t="s">
        <v>85</v>
      </c>
      <c r="AB40" t="s">
        <v>986</v>
      </c>
      <c r="AC40" t="s">
        <v>814</v>
      </c>
      <c r="AD40" t="s">
        <v>174</v>
      </c>
      <c r="AE40" t="s">
        <v>84</v>
      </c>
      <c r="AF40" t="s">
        <v>89</v>
      </c>
      <c r="AG40" t="s">
        <v>73</v>
      </c>
      <c r="AH40" t="s">
        <v>89</v>
      </c>
      <c r="AI40" t="s">
        <v>89</v>
      </c>
      <c r="AJ40" t="s">
        <v>987</v>
      </c>
      <c r="AK40" t="s">
        <v>988</v>
      </c>
      <c r="AL40" t="s">
        <v>92</v>
      </c>
      <c r="AM40" t="s">
        <v>93</v>
      </c>
      <c r="AN40" t="s">
        <v>948</v>
      </c>
      <c r="AO40" t="s">
        <v>989</v>
      </c>
      <c r="AP40" t="s">
        <v>865</v>
      </c>
      <c r="AQ40"/>
      <c r="AR40"/>
      <c r="AS40">
        <v>1176759.99</v>
      </c>
      <c r="AT40">
        <v>1035548.79</v>
      </c>
      <c r="AU40">
        <v>1343780.81</v>
      </c>
      <c r="AV40">
        <v>141211.19</v>
      </c>
      <c r="AW40">
        <v>167020.82</v>
      </c>
      <c r="AX40">
        <v>1.0000000009313226E-2</v>
      </c>
      <c r="AY40" t="s">
        <v>85</v>
      </c>
      <c r="AZ40">
        <v>128</v>
      </c>
      <c r="BA40" t="s">
        <v>148</v>
      </c>
      <c r="BB40" t="s">
        <v>83</v>
      </c>
      <c r="BC40" t="s">
        <v>149</v>
      </c>
      <c r="BD40" t="s">
        <v>83</v>
      </c>
      <c r="BE40">
        <v>2000</v>
      </c>
      <c r="BF40">
        <v>2011</v>
      </c>
      <c r="BG40" t="s">
        <v>249</v>
      </c>
      <c r="BH40" t="s">
        <v>151</v>
      </c>
      <c r="BI40" t="s">
        <v>100</v>
      </c>
      <c r="BJ40">
        <v>42072</v>
      </c>
      <c r="BK40" t="s">
        <v>990</v>
      </c>
      <c r="BL40" t="s">
        <v>73</v>
      </c>
      <c r="BM40" t="s">
        <v>99</v>
      </c>
      <c r="BN40" t="s">
        <v>154</v>
      </c>
      <c r="BO40">
        <v>42473</v>
      </c>
      <c r="BP40" t="s">
        <v>991</v>
      </c>
      <c r="BQ40" t="s">
        <v>73</v>
      </c>
      <c r="BR40" t="s">
        <v>102</v>
      </c>
      <c r="BS40" t="s">
        <v>73</v>
      </c>
      <c r="BT40" t="s">
        <v>73</v>
      </c>
      <c r="BU40" t="s">
        <v>73</v>
      </c>
      <c r="BV40" t="s">
        <v>73</v>
      </c>
      <c r="BW40" t="s">
        <v>992</v>
      </c>
      <c r="BX40" t="s">
        <v>992</v>
      </c>
      <c r="BY40" t="s">
        <v>73</v>
      </c>
      <c r="BZ40" t="s">
        <v>73</v>
      </c>
      <c r="CA40" t="s">
        <v>73</v>
      </c>
      <c r="CB40" t="s">
        <v>73</v>
      </c>
      <c r="CC40" t="s">
        <v>73</v>
      </c>
      <c r="CD40" t="s">
        <v>92</v>
      </c>
      <c r="CE40" t="s">
        <v>993</v>
      </c>
      <c r="CF40" t="s">
        <v>104</v>
      </c>
      <c r="CG40" s="5" t="s">
        <v>994</v>
      </c>
      <c r="CH40" t="s">
        <v>1586</v>
      </c>
      <c r="CI40" t="s">
        <v>979</v>
      </c>
      <c r="CJ40" t="s">
        <v>995</v>
      </c>
      <c r="CK40" t="s">
        <v>104</v>
      </c>
      <c r="CL40" t="s">
        <v>996</v>
      </c>
      <c r="CM40" t="s">
        <v>73</v>
      </c>
      <c r="CN40" t="s">
        <v>104</v>
      </c>
      <c r="CO40" t="s">
        <v>997</v>
      </c>
      <c r="CP40" t="s">
        <v>92</v>
      </c>
      <c r="CQ40" t="s">
        <v>998</v>
      </c>
      <c r="CR40"/>
      <c r="CS40" t="s">
        <v>104</v>
      </c>
      <c r="CT40" t="s">
        <v>999</v>
      </c>
      <c r="CU40"/>
      <c r="CV40" t="s">
        <v>73</v>
      </c>
      <c r="CW40" t="s">
        <v>73</v>
      </c>
      <c r="CX40"/>
      <c r="CY40" t="s">
        <v>73</v>
      </c>
      <c r="CZ40" t="s">
        <v>73</v>
      </c>
    </row>
    <row r="41" spans="1:104" s="4" customFormat="1" ht="15" customHeight="1" x14ac:dyDescent="0.2">
      <c r="A41">
        <v>1882</v>
      </c>
      <c r="B41">
        <v>224</v>
      </c>
      <c r="C41" t="s">
        <v>70</v>
      </c>
      <c r="D41" t="s">
        <v>1000</v>
      </c>
      <c r="E41" t="s">
        <v>1001</v>
      </c>
      <c r="F41" t="s">
        <v>5</v>
      </c>
      <c r="G41">
        <v>2020</v>
      </c>
      <c r="H41">
        <v>143928</v>
      </c>
      <c r="I41" t="s">
        <v>73</v>
      </c>
      <c r="J41" t="s">
        <v>1002</v>
      </c>
      <c r="K41" s="24" t="s">
        <v>73</v>
      </c>
      <c r="L41" t="s">
        <v>1003</v>
      </c>
      <c r="M41" t="s">
        <v>78</v>
      </c>
      <c r="N41" t="s">
        <v>77</v>
      </c>
      <c r="O41" t="s">
        <v>118</v>
      </c>
      <c r="P41" t="s">
        <v>879</v>
      </c>
      <c r="Q41" t="s">
        <v>80</v>
      </c>
      <c r="R41" t="s">
        <v>81</v>
      </c>
      <c r="S41" t="s">
        <v>82</v>
      </c>
      <c r="T41" t="s">
        <v>83</v>
      </c>
      <c r="U41" t="s">
        <v>84</v>
      </c>
      <c r="V41" t="s">
        <v>83</v>
      </c>
      <c r="W41" t="s">
        <v>83</v>
      </c>
      <c r="X41" t="s">
        <v>83</v>
      </c>
      <c r="Y41" t="s">
        <v>83</v>
      </c>
      <c r="Z41" t="s">
        <v>84</v>
      </c>
      <c r="AA41" t="s">
        <v>85</v>
      </c>
      <c r="AB41" t="s">
        <v>1004</v>
      </c>
      <c r="AC41" t="s">
        <v>88</v>
      </c>
      <c r="AD41" t="s">
        <v>88</v>
      </c>
      <c r="AE41" t="s">
        <v>73</v>
      </c>
      <c r="AF41" t="s">
        <v>89</v>
      </c>
      <c r="AG41" t="s">
        <v>89</v>
      </c>
      <c r="AH41" t="s">
        <v>89</v>
      </c>
      <c r="AI41" t="s">
        <v>89</v>
      </c>
      <c r="AJ41" t="s">
        <v>1005</v>
      </c>
      <c r="AK41" t="s">
        <v>1006</v>
      </c>
      <c r="AL41" t="s">
        <v>92</v>
      </c>
      <c r="AM41" t="s">
        <v>93</v>
      </c>
      <c r="AN41" t="s">
        <v>904</v>
      </c>
      <c r="AO41" t="s">
        <v>1007</v>
      </c>
      <c r="AP41" t="s">
        <v>1008</v>
      </c>
      <c r="AQ41"/>
      <c r="AR41"/>
      <c r="AS41">
        <v>2158050</v>
      </c>
      <c r="AT41">
        <v>1843511.1428571427</v>
      </c>
      <c r="AU41">
        <v>2158050</v>
      </c>
      <c r="AV41">
        <v>314538.85714285698</v>
      </c>
      <c r="AW41">
        <v>0</v>
      </c>
      <c r="AX41">
        <v>0</v>
      </c>
      <c r="AY41" t="s">
        <v>84</v>
      </c>
      <c r="AZ41" t="s">
        <v>73</v>
      </c>
      <c r="BA41" t="s">
        <v>148</v>
      </c>
      <c r="BB41" t="s">
        <v>83</v>
      </c>
      <c r="BC41" t="s">
        <v>227</v>
      </c>
      <c r="BD41" t="s">
        <v>83</v>
      </c>
      <c r="BE41">
        <v>2000</v>
      </c>
      <c r="BF41">
        <v>2012</v>
      </c>
      <c r="BG41" t="s">
        <v>515</v>
      </c>
      <c r="BH41" t="s">
        <v>151</v>
      </c>
      <c r="BI41" t="s">
        <v>180</v>
      </c>
      <c r="BJ41">
        <v>41649</v>
      </c>
      <c r="BK41" t="s">
        <v>1009</v>
      </c>
      <c r="BL41" t="s">
        <v>73</v>
      </c>
      <c r="BM41" t="s">
        <v>99</v>
      </c>
      <c r="BN41" t="s">
        <v>409</v>
      </c>
      <c r="BO41" t="s">
        <v>73</v>
      </c>
      <c r="BP41" t="s">
        <v>1010</v>
      </c>
      <c r="BQ41" t="s">
        <v>73</v>
      </c>
      <c r="BR41" t="s">
        <v>102</v>
      </c>
      <c r="BS41" t="s">
        <v>73</v>
      </c>
      <c r="BT41" t="s">
        <v>73</v>
      </c>
      <c r="BU41" t="s">
        <v>73</v>
      </c>
      <c r="BV41" t="s">
        <v>73</v>
      </c>
      <c r="BW41" t="s">
        <v>1011</v>
      </c>
      <c r="BX41" t="s">
        <v>1011</v>
      </c>
      <c r="BY41" t="s">
        <v>104</v>
      </c>
      <c r="BZ41" t="s">
        <v>105</v>
      </c>
      <c r="CA41" t="s">
        <v>1012</v>
      </c>
      <c r="CB41" t="s">
        <v>1574</v>
      </c>
      <c r="CC41" t="s">
        <v>107</v>
      </c>
      <c r="CD41" t="s">
        <v>73</v>
      </c>
      <c r="CE41" t="s">
        <v>73</v>
      </c>
      <c r="CF41" t="s">
        <v>104</v>
      </c>
      <c r="CG41" s="5" t="s">
        <v>1013</v>
      </c>
      <c r="CH41" t="s">
        <v>1586</v>
      </c>
      <c r="CI41" t="s">
        <v>1014</v>
      </c>
      <c r="CJ41" t="s">
        <v>1015</v>
      </c>
      <c r="CK41" t="s">
        <v>92</v>
      </c>
      <c r="CL41" t="s">
        <v>73</v>
      </c>
      <c r="CM41" t="s">
        <v>73</v>
      </c>
      <c r="CN41" t="s">
        <v>104</v>
      </c>
      <c r="CO41" t="s">
        <v>1016</v>
      </c>
      <c r="CP41" t="s">
        <v>104</v>
      </c>
      <c r="CQ41" t="s">
        <v>1017</v>
      </c>
      <c r="CR41"/>
      <c r="CS41" t="s">
        <v>92</v>
      </c>
      <c r="CT41" t="s">
        <v>112</v>
      </c>
      <c r="CU41"/>
      <c r="CV41" t="s">
        <v>73</v>
      </c>
      <c r="CW41" t="s">
        <v>73</v>
      </c>
      <c r="CX41"/>
      <c r="CY41" t="s">
        <v>73</v>
      </c>
      <c r="CZ41" t="s">
        <v>73</v>
      </c>
    </row>
    <row r="42" spans="1:104" s="4" customFormat="1" ht="15" customHeight="1" x14ac:dyDescent="0.2">
      <c r="A42">
        <v>1360</v>
      </c>
      <c r="B42">
        <v>293</v>
      </c>
      <c r="C42" t="s">
        <v>70</v>
      </c>
      <c r="D42" t="s">
        <v>1018</v>
      </c>
      <c r="E42" t="s">
        <v>1019</v>
      </c>
      <c r="F42" t="s">
        <v>5</v>
      </c>
      <c r="G42">
        <v>2020</v>
      </c>
      <c r="H42">
        <v>127004</v>
      </c>
      <c r="I42" t="s">
        <v>73</v>
      </c>
      <c r="J42" t="s">
        <v>1020</v>
      </c>
      <c r="K42">
        <v>20</v>
      </c>
      <c r="L42" t="s">
        <v>1021</v>
      </c>
      <c r="M42" t="s">
        <v>117</v>
      </c>
      <c r="N42" t="s">
        <v>77</v>
      </c>
      <c r="O42" t="s">
        <v>78</v>
      </c>
      <c r="P42" t="s">
        <v>1022</v>
      </c>
      <c r="Q42" t="s">
        <v>80</v>
      </c>
      <c r="R42" t="s">
        <v>81</v>
      </c>
      <c r="S42" t="s">
        <v>82</v>
      </c>
      <c r="T42" t="s">
        <v>83</v>
      </c>
      <c r="U42" t="s">
        <v>84</v>
      </c>
      <c r="V42" t="s">
        <v>83</v>
      </c>
      <c r="W42" t="s">
        <v>83</v>
      </c>
      <c r="X42" t="s">
        <v>83</v>
      </c>
      <c r="Y42" t="s">
        <v>83</v>
      </c>
      <c r="Z42" t="s">
        <v>73</v>
      </c>
      <c r="AA42" t="s">
        <v>85</v>
      </c>
      <c r="AB42" t="s">
        <v>1023</v>
      </c>
      <c r="AC42" t="s">
        <v>73</v>
      </c>
      <c r="AD42" t="s">
        <v>174</v>
      </c>
      <c r="AE42" t="s">
        <v>84</v>
      </c>
      <c r="AF42" t="s">
        <v>89</v>
      </c>
      <c r="AG42" t="s">
        <v>89</v>
      </c>
      <c r="AH42" t="s">
        <v>89</v>
      </c>
      <c r="AI42" t="s">
        <v>89</v>
      </c>
      <c r="AJ42" t="s">
        <v>1024</v>
      </c>
      <c r="AK42" t="s">
        <v>1025</v>
      </c>
      <c r="AL42" t="s">
        <v>104</v>
      </c>
      <c r="AM42" t="s">
        <v>93</v>
      </c>
      <c r="AN42" t="s">
        <v>1026</v>
      </c>
      <c r="AO42" t="s">
        <v>1027</v>
      </c>
      <c r="AP42" t="s">
        <v>886</v>
      </c>
      <c r="AQ42"/>
      <c r="AR42"/>
      <c r="AS42">
        <v>11296369.4</v>
      </c>
      <c r="AT42">
        <v>9461003</v>
      </c>
      <c r="AU42">
        <v>12235777.4</v>
      </c>
      <c r="AV42">
        <v>1835367</v>
      </c>
      <c r="AW42">
        <v>939408.4</v>
      </c>
      <c r="AX42">
        <v>-1</v>
      </c>
      <c r="AY42" t="s">
        <v>85</v>
      </c>
      <c r="AZ42" t="s">
        <v>73</v>
      </c>
      <c r="BA42" t="s">
        <v>148</v>
      </c>
      <c r="BB42" t="s">
        <v>83</v>
      </c>
      <c r="BC42" t="s">
        <v>227</v>
      </c>
      <c r="BD42" t="s">
        <v>83</v>
      </c>
      <c r="BE42" t="s">
        <v>73</v>
      </c>
      <c r="BF42" t="s">
        <v>73</v>
      </c>
      <c r="BG42" t="s">
        <v>249</v>
      </c>
      <c r="BH42" t="s">
        <v>99</v>
      </c>
      <c r="BI42" t="s">
        <v>100</v>
      </c>
      <c r="BJ42">
        <v>42220</v>
      </c>
      <c r="BK42" t="s">
        <v>1028</v>
      </c>
      <c r="BL42" t="s">
        <v>73</v>
      </c>
      <c r="BM42" t="s">
        <v>151</v>
      </c>
      <c r="BN42" t="s">
        <v>100</v>
      </c>
      <c r="BO42">
        <v>42240</v>
      </c>
      <c r="BP42" t="s">
        <v>1029</v>
      </c>
      <c r="BQ42" t="s">
        <v>73</v>
      </c>
      <c r="BR42" t="s">
        <v>429</v>
      </c>
      <c r="BS42" t="s">
        <v>100</v>
      </c>
      <c r="BT42">
        <v>42571</v>
      </c>
      <c r="BU42" t="s">
        <v>1030</v>
      </c>
      <c r="BV42">
        <v>44396</v>
      </c>
      <c r="BW42" t="s">
        <v>1031</v>
      </c>
      <c r="BX42" t="s">
        <v>1031</v>
      </c>
      <c r="BY42" t="s">
        <v>104</v>
      </c>
      <c r="BZ42" t="s">
        <v>105</v>
      </c>
      <c r="CA42" t="s">
        <v>1032</v>
      </c>
      <c r="CB42" t="s">
        <v>1581</v>
      </c>
      <c r="CC42" t="s">
        <v>107</v>
      </c>
      <c r="CD42" t="s">
        <v>73</v>
      </c>
      <c r="CE42" t="s">
        <v>73</v>
      </c>
      <c r="CF42" t="s">
        <v>104</v>
      </c>
      <c r="CG42" s="5" t="s">
        <v>1033</v>
      </c>
      <c r="CH42" t="s">
        <v>1594</v>
      </c>
      <c r="CI42" t="s">
        <v>1034</v>
      </c>
      <c r="CJ42" t="s">
        <v>1035</v>
      </c>
      <c r="CK42" t="s">
        <v>92</v>
      </c>
      <c r="CL42" t="s">
        <v>73</v>
      </c>
      <c r="CM42" t="s">
        <v>73</v>
      </c>
      <c r="CN42" t="s">
        <v>104</v>
      </c>
      <c r="CO42" t="s">
        <v>1036</v>
      </c>
      <c r="CP42" t="s">
        <v>104</v>
      </c>
      <c r="CQ42" t="s">
        <v>1037</v>
      </c>
      <c r="CR42"/>
      <c r="CS42" t="s">
        <v>104</v>
      </c>
      <c r="CT42" t="s">
        <v>1038</v>
      </c>
      <c r="CU42"/>
      <c r="CV42" t="s">
        <v>92</v>
      </c>
      <c r="CW42" t="s">
        <v>112</v>
      </c>
      <c r="CX42"/>
      <c r="CY42" t="s">
        <v>92</v>
      </c>
      <c r="CZ42" t="s">
        <v>112</v>
      </c>
    </row>
    <row r="43" spans="1:104" s="4" customFormat="1" ht="15" customHeight="1" x14ac:dyDescent="0.2">
      <c r="A43">
        <v>2278</v>
      </c>
      <c r="B43">
        <v>854</v>
      </c>
      <c r="C43" t="s">
        <v>70</v>
      </c>
      <c r="D43" t="s">
        <v>1039</v>
      </c>
      <c r="E43" t="s">
        <v>193</v>
      </c>
      <c r="F43" t="s">
        <v>5</v>
      </c>
      <c r="G43">
        <v>2020</v>
      </c>
      <c r="H43">
        <v>183015</v>
      </c>
      <c r="I43" t="s">
        <v>73</v>
      </c>
      <c r="J43" t="s">
        <v>136</v>
      </c>
      <c r="K43">
        <v>25</v>
      </c>
      <c r="L43" s="5" t="s">
        <v>1040</v>
      </c>
      <c r="M43" t="s">
        <v>117</v>
      </c>
      <c r="N43" t="s">
        <v>77</v>
      </c>
      <c r="O43" t="s">
        <v>78</v>
      </c>
      <c r="P43" t="s">
        <v>1041</v>
      </c>
      <c r="Q43" t="s">
        <v>80</v>
      </c>
      <c r="R43" t="s">
        <v>82</v>
      </c>
      <c r="S43" t="s">
        <v>82</v>
      </c>
      <c r="T43" t="s">
        <v>83</v>
      </c>
      <c r="U43" t="s">
        <v>85</v>
      </c>
      <c r="V43" t="s">
        <v>1042</v>
      </c>
      <c r="W43" t="s">
        <v>73</v>
      </c>
      <c r="X43" t="s">
        <v>73</v>
      </c>
      <c r="Y43" t="s">
        <v>73</v>
      </c>
      <c r="Z43" t="s">
        <v>84</v>
      </c>
      <c r="AA43" t="s">
        <v>85</v>
      </c>
      <c r="AB43" s="5" t="s">
        <v>1043</v>
      </c>
      <c r="AC43" t="s">
        <v>88</v>
      </c>
      <c r="AD43" t="s">
        <v>88</v>
      </c>
      <c r="AE43" t="s">
        <v>84</v>
      </c>
      <c r="AF43" t="s">
        <v>89</v>
      </c>
      <c r="AG43" t="s">
        <v>73</v>
      </c>
      <c r="AH43" t="s">
        <v>199</v>
      </c>
      <c r="AI43" t="s">
        <v>89</v>
      </c>
      <c r="AJ43" t="s">
        <v>1044</v>
      </c>
      <c r="AK43" t="s">
        <v>1045</v>
      </c>
      <c r="AL43" t="s">
        <v>92</v>
      </c>
      <c r="AM43" t="s">
        <v>93</v>
      </c>
      <c r="AN43" t="s">
        <v>1046</v>
      </c>
      <c r="AO43" t="s">
        <v>1047</v>
      </c>
      <c r="AP43" t="s">
        <v>1048</v>
      </c>
      <c r="AQ43"/>
      <c r="AR43"/>
      <c r="AS43">
        <v>37518511</v>
      </c>
      <c r="AT43">
        <v>37518511</v>
      </c>
      <c r="AU43">
        <v>39097198</v>
      </c>
      <c r="AV43" t="s">
        <v>73</v>
      </c>
      <c r="AW43">
        <v>1578687</v>
      </c>
      <c r="AX43">
        <v>0</v>
      </c>
      <c r="AY43" t="s">
        <v>85</v>
      </c>
      <c r="AZ43">
        <v>127</v>
      </c>
      <c r="BA43" t="s">
        <v>148</v>
      </c>
      <c r="BB43" t="s">
        <v>83</v>
      </c>
      <c r="BC43" t="s">
        <v>227</v>
      </c>
      <c r="BD43" t="s">
        <v>83</v>
      </c>
      <c r="BE43">
        <v>2008</v>
      </c>
      <c r="BF43">
        <v>2017</v>
      </c>
      <c r="BG43" t="s">
        <v>407</v>
      </c>
      <c r="BH43" t="s">
        <v>151</v>
      </c>
      <c r="BI43" t="s">
        <v>409</v>
      </c>
      <c r="BJ43" t="s">
        <v>73</v>
      </c>
      <c r="BK43" t="s">
        <v>1049</v>
      </c>
      <c r="BL43" t="s">
        <v>73</v>
      </c>
      <c r="BM43" t="s">
        <v>99</v>
      </c>
      <c r="BN43" t="s">
        <v>409</v>
      </c>
      <c r="BO43" t="s">
        <v>73</v>
      </c>
      <c r="BP43" t="s">
        <v>1049</v>
      </c>
      <c r="BQ43" t="s">
        <v>73</v>
      </c>
      <c r="BR43" t="s">
        <v>102</v>
      </c>
      <c r="BS43" t="s">
        <v>73</v>
      </c>
      <c r="BT43" t="s">
        <v>73</v>
      </c>
      <c r="BU43" t="s">
        <v>73</v>
      </c>
      <c r="BV43" t="s">
        <v>73</v>
      </c>
      <c r="BW43" t="s">
        <v>1050</v>
      </c>
      <c r="BX43" t="s">
        <v>1050</v>
      </c>
      <c r="BY43" t="s">
        <v>104</v>
      </c>
      <c r="BZ43" t="s">
        <v>127</v>
      </c>
      <c r="CA43" t="s">
        <v>1051</v>
      </c>
      <c r="CB43" t="s">
        <v>1575</v>
      </c>
      <c r="CC43" t="s">
        <v>129</v>
      </c>
      <c r="CD43" t="s">
        <v>104</v>
      </c>
      <c r="CE43" t="s">
        <v>452</v>
      </c>
      <c r="CF43" t="s">
        <v>104</v>
      </c>
      <c r="CG43" s="5" t="s">
        <v>1052</v>
      </c>
      <c r="CH43" t="s">
        <v>1607</v>
      </c>
      <c r="CI43" t="s">
        <v>706</v>
      </c>
      <c r="CJ43" t="s">
        <v>73</v>
      </c>
      <c r="CK43" t="s">
        <v>92</v>
      </c>
      <c r="CL43" t="s">
        <v>73</v>
      </c>
      <c r="CM43" t="s">
        <v>73</v>
      </c>
      <c r="CN43" t="s">
        <v>92</v>
      </c>
      <c r="CO43" t="s">
        <v>73</v>
      </c>
      <c r="CP43" t="s">
        <v>104</v>
      </c>
      <c r="CQ43" t="s">
        <v>1053</v>
      </c>
      <c r="CR43"/>
      <c r="CS43" t="s">
        <v>92</v>
      </c>
      <c r="CT43" t="s">
        <v>112</v>
      </c>
      <c r="CU43"/>
      <c r="CV43" t="s">
        <v>92</v>
      </c>
      <c r="CW43" t="s">
        <v>112</v>
      </c>
      <c r="CX43"/>
      <c r="CY43" t="s">
        <v>104</v>
      </c>
      <c r="CZ43" t="s">
        <v>1054</v>
      </c>
    </row>
    <row r="44" spans="1:104" s="4" customFormat="1" ht="15" customHeight="1" x14ac:dyDescent="0.2">
      <c r="A44">
        <v>1799</v>
      </c>
      <c r="B44">
        <v>951</v>
      </c>
      <c r="C44" t="s">
        <v>70</v>
      </c>
      <c r="D44" t="s">
        <v>1055</v>
      </c>
      <c r="E44" t="s">
        <v>1055</v>
      </c>
      <c r="F44" t="s">
        <v>5</v>
      </c>
      <c r="G44">
        <v>2022</v>
      </c>
      <c r="H44">
        <v>53394</v>
      </c>
      <c r="I44" t="s">
        <v>73</v>
      </c>
      <c r="J44">
        <v>2037</v>
      </c>
      <c r="K44">
        <v>20</v>
      </c>
      <c r="L44" t="s">
        <v>1056</v>
      </c>
      <c r="M44" t="s">
        <v>117</v>
      </c>
      <c r="N44" t="s">
        <v>1057</v>
      </c>
      <c r="O44" t="s">
        <v>526</v>
      </c>
      <c r="P44" t="s">
        <v>1058</v>
      </c>
      <c r="Q44" t="s">
        <v>528</v>
      </c>
      <c r="R44" t="s">
        <v>82</v>
      </c>
      <c r="S44" t="s">
        <v>82</v>
      </c>
      <c r="T44" t="s">
        <v>83</v>
      </c>
      <c r="U44" t="s">
        <v>92</v>
      </c>
      <c r="V44" t="s">
        <v>83</v>
      </c>
      <c r="W44" t="s">
        <v>83</v>
      </c>
      <c r="X44" t="s">
        <v>83</v>
      </c>
      <c r="Y44" t="s">
        <v>83</v>
      </c>
      <c r="Z44" t="s">
        <v>85</v>
      </c>
      <c r="AA44" t="s">
        <v>85</v>
      </c>
      <c r="AB44" t="s">
        <v>1059</v>
      </c>
      <c r="AC44" t="s">
        <v>174</v>
      </c>
      <c r="AD44" t="s">
        <v>174</v>
      </c>
      <c r="AE44" t="s">
        <v>84</v>
      </c>
      <c r="AF44" t="s">
        <v>89</v>
      </c>
      <c r="AG44" t="s">
        <v>73</v>
      </c>
      <c r="AH44" t="s">
        <v>509</v>
      </c>
      <c r="AI44" t="s">
        <v>89</v>
      </c>
      <c r="AJ44">
        <v>-69.579606999999996</v>
      </c>
      <c r="AK44">
        <v>-10.947901</v>
      </c>
      <c r="AL44" t="s">
        <v>84</v>
      </c>
      <c r="AM44" t="s">
        <v>93</v>
      </c>
      <c r="AN44" t="s">
        <v>1060</v>
      </c>
      <c r="AO44" t="s">
        <v>1061</v>
      </c>
      <c r="AP44" t="s">
        <v>1062</v>
      </c>
      <c r="AQ44"/>
      <c r="AR44"/>
      <c r="AS44">
        <v>2523360</v>
      </c>
      <c r="AT44" t="s">
        <v>73</v>
      </c>
      <c r="AU44">
        <v>2839568</v>
      </c>
      <c r="AV44">
        <v>369132</v>
      </c>
      <c r="AW44">
        <v>316188</v>
      </c>
      <c r="AX44">
        <v>26</v>
      </c>
      <c r="AY44" t="s">
        <v>85</v>
      </c>
      <c r="AZ44" t="s">
        <v>73</v>
      </c>
      <c r="BA44" t="s">
        <v>148</v>
      </c>
      <c r="BB44" t="s">
        <v>83</v>
      </c>
      <c r="BC44" t="s">
        <v>227</v>
      </c>
      <c r="BD44" t="s">
        <v>83</v>
      </c>
      <c r="BE44">
        <v>2005</v>
      </c>
      <c r="BF44">
        <v>2016</v>
      </c>
      <c r="BG44" t="s">
        <v>249</v>
      </c>
      <c r="BH44" t="s">
        <v>99</v>
      </c>
      <c r="BI44" t="s">
        <v>104</v>
      </c>
      <c r="BJ44" t="s">
        <v>73</v>
      </c>
      <c r="BK44" t="s">
        <v>1063</v>
      </c>
      <c r="BL44" t="s">
        <v>73</v>
      </c>
      <c r="BM44" t="s">
        <v>151</v>
      </c>
      <c r="BN44" t="s">
        <v>559</v>
      </c>
      <c r="BO44" t="s">
        <v>73</v>
      </c>
      <c r="BP44" t="s">
        <v>1064</v>
      </c>
      <c r="BQ44" t="s">
        <v>73</v>
      </c>
      <c r="BR44" t="s">
        <v>102</v>
      </c>
      <c r="BS44" t="s">
        <v>83</v>
      </c>
      <c r="BT44" t="s">
        <v>73</v>
      </c>
      <c r="BU44" t="s">
        <v>73</v>
      </c>
      <c r="BV44" t="s">
        <v>73</v>
      </c>
      <c r="BW44" t="s">
        <v>1065</v>
      </c>
      <c r="BX44" t="s">
        <v>1065</v>
      </c>
      <c r="BY44" t="s">
        <v>104</v>
      </c>
      <c r="BZ44" t="s">
        <v>105</v>
      </c>
      <c r="CA44" t="s">
        <v>1066</v>
      </c>
      <c r="CB44" t="s">
        <v>1581</v>
      </c>
      <c r="CC44" t="s">
        <v>107</v>
      </c>
      <c r="CD44" t="s">
        <v>104</v>
      </c>
      <c r="CE44" t="s">
        <v>73</v>
      </c>
      <c r="CF44" t="s">
        <v>104</v>
      </c>
      <c r="CG44" s="5" t="s">
        <v>1067</v>
      </c>
      <c r="CH44" t="s">
        <v>1586</v>
      </c>
      <c r="CI44" t="s">
        <v>1068</v>
      </c>
      <c r="CJ44" t="s">
        <v>1069</v>
      </c>
      <c r="CK44" t="s">
        <v>92</v>
      </c>
      <c r="CL44" t="s">
        <v>73</v>
      </c>
      <c r="CM44" t="s">
        <v>73</v>
      </c>
      <c r="CN44" t="s">
        <v>104</v>
      </c>
      <c r="CO44" t="s">
        <v>1070</v>
      </c>
      <c r="CP44" t="s">
        <v>104</v>
      </c>
      <c r="CQ44" t="s">
        <v>1071</v>
      </c>
      <c r="CR44"/>
      <c r="CS44" t="s">
        <v>92</v>
      </c>
      <c r="CT44" t="s">
        <v>112</v>
      </c>
      <c r="CU44"/>
      <c r="CV44" t="s">
        <v>73</v>
      </c>
      <c r="CW44" t="s">
        <v>73</v>
      </c>
      <c r="CX44"/>
      <c r="CY44" t="s">
        <v>104</v>
      </c>
      <c r="CZ44" t="s">
        <v>1072</v>
      </c>
    </row>
    <row r="45" spans="1:104" s="4" customFormat="1" ht="15" customHeight="1" x14ac:dyDescent="0.2">
      <c r="A45">
        <v>1201</v>
      </c>
      <c r="B45">
        <v>400</v>
      </c>
      <c r="C45" t="s">
        <v>70</v>
      </c>
      <c r="D45" t="s">
        <v>57</v>
      </c>
      <c r="E45" t="s">
        <v>193</v>
      </c>
      <c r="F45" t="s">
        <v>11</v>
      </c>
      <c r="G45">
        <v>2020</v>
      </c>
      <c r="H45">
        <v>69714</v>
      </c>
      <c r="I45" t="s">
        <v>73</v>
      </c>
      <c r="J45" t="s">
        <v>217</v>
      </c>
      <c r="K45">
        <v>30</v>
      </c>
      <c r="L45" t="s">
        <v>1073</v>
      </c>
      <c r="M45" t="s">
        <v>78</v>
      </c>
      <c r="N45" t="s">
        <v>77</v>
      </c>
      <c r="O45" t="s">
        <v>398</v>
      </c>
      <c r="P45" t="s">
        <v>1074</v>
      </c>
      <c r="Q45" t="s">
        <v>80</v>
      </c>
      <c r="R45" t="s">
        <v>82</v>
      </c>
      <c r="S45" t="s">
        <v>82</v>
      </c>
      <c r="T45" t="s">
        <v>83</v>
      </c>
      <c r="U45" t="s">
        <v>85</v>
      </c>
      <c r="V45" t="s">
        <v>1075</v>
      </c>
      <c r="W45" t="s">
        <v>73</v>
      </c>
      <c r="X45" t="s">
        <v>73</v>
      </c>
      <c r="Y45" t="s">
        <v>969</v>
      </c>
      <c r="Z45" t="s">
        <v>85</v>
      </c>
      <c r="AA45" t="s">
        <v>85</v>
      </c>
      <c r="AB45" t="s">
        <v>1076</v>
      </c>
      <c r="AC45" t="s">
        <v>87</v>
      </c>
      <c r="AD45" t="s">
        <v>174</v>
      </c>
      <c r="AE45" t="s">
        <v>73</v>
      </c>
      <c r="AF45" t="s">
        <v>89</v>
      </c>
      <c r="AG45" t="s">
        <v>89</v>
      </c>
      <c r="AH45" t="s">
        <v>89</v>
      </c>
      <c r="AI45" t="s">
        <v>89</v>
      </c>
      <c r="AJ45" t="s">
        <v>1077</v>
      </c>
      <c r="AK45" t="s">
        <v>1078</v>
      </c>
      <c r="AL45" t="s">
        <v>104</v>
      </c>
      <c r="AM45" t="s">
        <v>789</v>
      </c>
      <c r="AN45" t="s">
        <v>1079</v>
      </c>
      <c r="AO45" t="s">
        <v>1080</v>
      </c>
      <c r="AP45" t="s">
        <v>364</v>
      </c>
      <c r="AQ45"/>
      <c r="AR45"/>
      <c r="AS45">
        <v>6166423</v>
      </c>
      <c r="AT45">
        <v>4370029</v>
      </c>
      <c r="AU45">
        <v>6166423</v>
      </c>
      <c r="AV45">
        <v>616642</v>
      </c>
      <c r="AW45">
        <v>1179752</v>
      </c>
      <c r="AX45">
        <v>0</v>
      </c>
      <c r="AY45" t="s">
        <v>85</v>
      </c>
      <c r="AZ45">
        <v>71</v>
      </c>
      <c r="BA45" t="s">
        <v>1081</v>
      </c>
      <c r="BB45" t="s">
        <v>83</v>
      </c>
      <c r="BC45" t="s">
        <v>149</v>
      </c>
      <c r="BD45" t="s">
        <v>83</v>
      </c>
      <c r="BE45">
        <v>2007</v>
      </c>
      <c r="BF45">
        <v>2018</v>
      </c>
      <c r="BG45" t="s">
        <v>249</v>
      </c>
      <c r="BH45" t="s">
        <v>151</v>
      </c>
      <c r="BI45" t="s">
        <v>152</v>
      </c>
      <c r="BJ45">
        <v>42300</v>
      </c>
      <c r="BK45" t="s">
        <v>1082</v>
      </c>
      <c r="BL45" t="s">
        <v>73</v>
      </c>
      <c r="BM45" t="s">
        <v>99</v>
      </c>
      <c r="BN45" t="s">
        <v>100</v>
      </c>
      <c r="BO45">
        <v>42303</v>
      </c>
      <c r="BP45" t="s">
        <v>1082</v>
      </c>
      <c r="BQ45" t="s">
        <v>73</v>
      </c>
      <c r="BR45" t="s">
        <v>102</v>
      </c>
      <c r="BS45" t="s">
        <v>73</v>
      </c>
      <c r="BT45" t="s">
        <v>73</v>
      </c>
      <c r="BU45" t="s">
        <v>73</v>
      </c>
      <c r="BV45" t="s">
        <v>73</v>
      </c>
      <c r="BW45" t="s">
        <v>1083</v>
      </c>
      <c r="BX45" t="s">
        <v>1083</v>
      </c>
      <c r="BY45" t="s">
        <v>104</v>
      </c>
      <c r="BZ45" t="s">
        <v>127</v>
      </c>
      <c r="CA45" t="s">
        <v>1084</v>
      </c>
      <c r="CB45" t="s">
        <v>1579</v>
      </c>
      <c r="CC45" t="s">
        <v>107</v>
      </c>
      <c r="CD45" t="s">
        <v>104</v>
      </c>
      <c r="CE45" t="s">
        <v>73</v>
      </c>
      <c r="CF45" t="s">
        <v>104</v>
      </c>
      <c r="CG45" s="5" t="s">
        <v>1085</v>
      </c>
      <c r="CH45" t="s">
        <v>1590</v>
      </c>
      <c r="CI45" t="s">
        <v>1086</v>
      </c>
      <c r="CJ45" t="s">
        <v>1087</v>
      </c>
      <c r="CK45" t="s">
        <v>104</v>
      </c>
      <c r="CL45" t="s">
        <v>1088</v>
      </c>
      <c r="CM45" t="s">
        <v>1599</v>
      </c>
      <c r="CN45" t="s">
        <v>104</v>
      </c>
      <c r="CO45" t="s">
        <v>1089</v>
      </c>
      <c r="CP45" t="s">
        <v>104</v>
      </c>
      <c r="CQ45" t="s">
        <v>1090</v>
      </c>
      <c r="CR45"/>
      <c r="CS45" t="s">
        <v>92</v>
      </c>
      <c r="CT45" t="s">
        <v>112</v>
      </c>
      <c r="CU45"/>
      <c r="CV45" t="s">
        <v>92</v>
      </c>
      <c r="CW45" t="s">
        <v>112</v>
      </c>
      <c r="CX45"/>
      <c r="CY45" t="s">
        <v>104</v>
      </c>
      <c r="CZ45" t="s">
        <v>1091</v>
      </c>
    </row>
    <row r="46" spans="1:104" s="4" customFormat="1" ht="32" customHeight="1" x14ac:dyDescent="0.2">
      <c r="A46">
        <v>1897</v>
      </c>
      <c r="B46">
        <v>455</v>
      </c>
      <c r="C46" t="s">
        <v>70</v>
      </c>
      <c r="D46" t="s">
        <v>1092</v>
      </c>
      <c r="E46" t="s">
        <v>193</v>
      </c>
      <c r="F46" t="s">
        <v>1093</v>
      </c>
      <c r="G46">
        <v>2020</v>
      </c>
      <c r="H46">
        <v>216994</v>
      </c>
      <c r="I46" t="s">
        <v>73</v>
      </c>
      <c r="J46" t="s">
        <v>1002</v>
      </c>
      <c r="K46">
        <v>30</v>
      </c>
      <c r="L46" t="s">
        <v>1094</v>
      </c>
      <c r="M46" t="s">
        <v>118</v>
      </c>
      <c r="N46" t="s">
        <v>117</v>
      </c>
      <c r="O46" t="s">
        <v>78</v>
      </c>
      <c r="P46" t="s">
        <v>1095</v>
      </c>
      <c r="Q46" t="s">
        <v>80</v>
      </c>
      <c r="R46" t="s">
        <v>82</v>
      </c>
      <c r="S46" t="s">
        <v>82</v>
      </c>
      <c r="T46" t="s">
        <v>83</v>
      </c>
      <c r="U46" t="s">
        <v>84</v>
      </c>
      <c r="V46" t="s">
        <v>83</v>
      </c>
      <c r="W46" t="s">
        <v>83</v>
      </c>
      <c r="X46" t="s">
        <v>83</v>
      </c>
      <c r="Y46" t="s">
        <v>83</v>
      </c>
      <c r="Z46" t="s">
        <v>85</v>
      </c>
      <c r="AA46" t="s">
        <v>85</v>
      </c>
      <c r="AB46" t="s">
        <v>1096</v>
      </c>
      <c r="AC46" t="s">
        <v>87</v>
      </c>
      <c r="AD46" t="s">
        <v>174</v>
      </c>
      <c r="AE46" t="s">
        <v>85</v>
      </c>
      <c r="AF46" t="s">
        <v>89</v>
      </c>
      <c r="AG46" t="s">
        <v>73</v>
      </c>
      <c r="AH46" t="s">
        <v>199</v>
      </c>
      <c r="AI46" t="s">
        <v>89</v>
      </c>
      <c r="AJ46" t="s">
        <v>1097</v>
      </c>
      <c r="AK46" t="s">
        <v>1098</v>
      </c>
      <c r="AL46" t="s">
        <v>92</v>
      </c>
      <c r="AM46" t="s">
        <v>789</v>
      </c>
      <c r="AN46" t="s">
        <v>1099</v>
      </c>
      <c r="AO46" t="s">
        <v>1100</v>
      </c>
      <c r="AP46" t="s">
        <v>1101</v>
      </c>
      <c r="AQ46"/>
      <c r="AR46"/>
      <c r="AS46">
        <v>15298920</v>
      </c>
      <c r="AT46">
        <v>10702323</v>
      </c>
      <c r="AU46">
        <v>15298920</v>
      </c>
      <c r="AV46">
        <v>1988859</v>
      </c>
      <c r="AW46">
        <v>2607738</v>
      </c>
      <c r="AX46">
        <v>0</v>
      </c>
      <c r="AY46" t="s">
        <v>85</v>
      </c>
      <c r="AZ46">
        <v>98</v>
      </c>
      <c r="BA46" t="s">
        <v>665</v>
      </c>
      <c r="BB46" t="s">
        <v>449</v>
      </c>
      <c r="BC46" t="s">
        <v>149</v>
      </c>
      <c r="BD46" t="s">
        <v>83</v>
      </c>
      <c r="BE46">
        <v>2007</v>
      </c>
      <c r="BF46">
        <v>2017</v>
      </c>
      <c r="BG46" t="s">
        <v>249</v>
      </c>
      <c r="BH46" t="s">
        <v>99</v>
      </c>
      <c r="BI46" t="s">
        <v>100</v>
      </c>
      <c r="BJ46">
        <v>44028</v>
      </c>
      <c r="BK46" t="s">
        <v>1102</v>
      </c>
      <c r="BL46" t="s">
        <v>73</v>
      </c>
      <c r="BM46" t="s">
        <v>151</v>
      </c>
      <c r="BN46" t="s">
        <v>100</v>
      </c>
      <c r="BO46">
        <v>44028</v>
      </c>
      <c r="BP46" t="s">
        <v>1102</v>
      </c>
      <c r="BQ46" t="s">
        <v>73</v>
      </c>
      <c r="BR46" t="s">
        <v>102</v>
      </c>
      <c r="BS46" t="s">
        <v>73</v>
      </c>
      <c r="BT46" t="s">
        <v>73</v>
      </c>
      <c r="BU46" t="s">
        <v>73</v>
      </c>
      <c r="BV46" t="s">
        <v>73</v>
      </c>
      <c r="BW46" t="s">
        <v>1103</v>
      </c>
      <c r="BX46" t="s">
        <v>1103</v>
      </c>
      <c r="BY46" t="s">
        <v>104</v>
      </c>
      <c r="BZ46" t="s">
        <v>127</v>
      </c>
      <c r="CA46" t="s">
        <v>209</v>
      </c>
      <c r="CB46" t="s">
        <v>1575</v>
      </c>
      <c r="CC46" t="s">
        <v>129</v>
      </c>
      <c r="CD46" t="s">
        <v>104</v>
      </c>
      <c r="CE46" t="s">
        <v>452</v>
      </c>
      <c r="CF46" t="s">
        <v>104</v>
      </c>
      <c r="CG46" s="5" t="s">
        <v>1104</v>
      </c>
      <c r="CH46" t="s">
        <v>1606</v>
      </c>
      <c r="CI46" t="s">
        <v>1105</v>
      </c>
      <c r="CJ46" t="s">
        <v>73</v>
      </c>
      <c r="CK46" t="s">
        <v>104</v>
      </c>
      <c r="CL46" t="s">
        <v>1106</v>
      </c>
      <c r="CM46" t="s">
        <v>1599</v>
      </c>
      <c r="CN46" t="s">
        <v>104</v>
      </c>
      <c r="CO46" t="s">
        <v>1107</v>
      </c>
      <c r="CP46" t="s">
        <v>104</v>
      </c>
      <c r="CQ46" t="s">
        <v>1108</v>
      </c>
      <c r="CR46"/>
      <c r="CS46" t="s">
        <v>92</v>
      </c>
      <c r="CT46" t="s">
        <v>112</v>
      </c>
      <c r="CU46"/>
      <c r="CV46" t="s">
        <v>104</v>
      </c>
      <c r="CW46" t="s">
        <v>1109</v>
      </c>
      <c r="CX46"/>
      <c r="CY46" t="s">
        <v>104</v>
      </c>
      <c r="CZ46" t="s">
        <v>1110</v>
      </c>
    </row>
    <row r="47" spans="1:104" s="4" customFormat="1" ht="44" customHeight="1" x14ac:dyDescent="0.2">
      <c r="A47">
        <v>1202</v>
      </c>
      <c r="B47">
        <v>367</v>
      </c>
      <c r="C47" t="s">
        <v>70</v>
      </c>
      <c r="D47" t="s">
        <v>1111</v>
      </c>
      <c r="E47" t="s">
        <v>193</v>
      </c>
      <c r="F47" t="s">
        <v>13</v>
      </c>
      <c r="G47">
        <v>2020</v>
      </c>
      <c r="H47">
        <v>40126</v>
      </c>
      <c r="I47" t="s">
        <v>73</v>
      </c>
      <c r="J47" t="s">
        <v>74</v>
      </c>
      <c r="K47">
        <v>30</v>
      </c>
      <c r="L47" t="s">
        <v>1112</v>
      </c>
      <c r="M47" t="s">
        <v>78</v>
      </c>
      <c r="N47" t="s">
        <v>117</v>
      </c>
      <c r="O47" t="s">
        <v>77</v>
      </c>
      <c r="P47" t="s">
        <v>1113</v>
      </c>
      <c r="Q47" t="s">
        <v>859</v>
      </c>
      <c r="R47" t="s">
        <v>82</v>
      </c>
      <c r="S47" t="s">
        <v>82</v>
      </c>
      <c r="T47" t="s">
        <v>83</v>
      </c>
      <c r="U47" t="s">
        <v>85</v>
      </c>
      <c r="V47" t="s">
        <v>1114</v>
      </c>
      <c r="W47">
        <v>38781</v>
      </c>
      <c r="X47" t="s">
        <v>1115</v>
      </c>
      <c r="Y47" t="s">
        <v>812</v>
      </c>
      <c r="Z47" t="s">
        <v>85</v>
      </c>
      <c r="AA47" t="s">
        <v>85</v>
      </c>
      <c r="AB47" t="s">
        <v>1116</v>
      </c>
      <c r="AC47" t="s">
        <v>88</v>
      </c>
      <c r="AD47" t="s">
        <v>88</v>
      </c>
      <c r="AE47" t="s">
        <v>84</v>
      </c>
      <c r="AF47" t="s">
        <v>89</v>
      </c>
      <c r="AG47" t="s">
        <v>89</v>
      </c>
      <c r="AH47" t="s">
        <v>89</v>
      </c>
      <c r="AI47" t="s">
        <v>89</v>
      </c>
      <c r="AJ47" t="s">
        <v>1117</v>
      </c>
      <c r="AK47">
        <v>-15.342777999999999</v>
      </c>
      <c r="AL47" t="s">
        <v>92</v>
      </c>
      <c r="AM47" t="s">
        <v>789</v>
      </c>
      <c r="AN47" t="s">
        <v>1118</v>
      </c>
      <c r="AO47" t="s">
        <v>1119</v>
      </c>
      <c r="AP47" t="s">
        <v>96</v>
      </c>
      <c r="AQ47"/>
      <c r="AR47"/>
      <c r="AS47">
        <v>6309472</v>
      </c>
      <c r="AT47">
        <v>6309472</v>
      </c>
      <c r="AU47">
        <v>6309472</v>
      </c>
      <c r="AV47">
        <v>0</v>
      </c>
      <c r="AW47">
        <v>0</v>
      </c>
      <c r="AX47">
        <v>0</v>
      </c>
      <c r="AY47" t="s">
        <v>85</v>
      </c>
      <c r="AZ47">
        <v>100</v>
      </c>
      <c r="BA47" t="s">
        <v>1120</v>
      </c>
      <c r="BB47" t="s">
        <v>83</v>
      </c>
      <c r="BC47" t="s">
        <v>227</v>
      </c>
      <c r="BD47" t="s">
        <v>83</v>
      </c>
      <c r="BE47">
        <v>2020</v>
      </c>
      <c r="BF47">
        <v>2021</v>
      </c>
      <c r="BG47" t="s">
        <v>98</v>
      </c>
      <c r="BH47" t="s">
        <v>151</v>
      </c>
      <c r="BI47" t="s">
        <v>100</v>
      </c>
      <c r="BJ47">
        <v>44743</v>
      </c>
      <c r="BK47" t="s">
        <v>1121</v>
      </c>
      <c r="BL47" t="s">
        <v>73</v>
      </c>
      <c r="BM47" t="s">
        <v>99</v>
      </c>
      <c r="BN47" t="s">
        <v>100</v>
      </c>
      <c r="BO47">
        <v>41733</v>
      </c>
      <c r="BP47" t="s">
        <v>1122</v>
      </c>
      <c r="BQ47" t="s">
        <v>73</v>
      </c>
      <c r="BR47" t="s">
        <v>102</v>
      </c>
      <c r="BS47" t="s">
        <v>73</v>
      </c>
      <c r="BT47" t="s">
        <v>73</v>
      </c>
      <c r="BU47" t="s">
        <v>73</v>
      </c>
      <c r="BV47" t="s">
        <v>73</v>
      </c>
      <c r="BW47" t="s">
        <v>1123</v>
      </c>
      <c r="BX47" t="s">
        <v>1123</v>
      </c>
      <c r="BY47" t="s">
        <v>104</v>
      </c>
      <c r="BZ47" t="s">
        <v>105</v>
      </c>
      <c r="CA47" t="s">
        <v>1124</v>
      </c>
      <c r="CB47" t="s">
        <v>1579</v>
      </c>
      <c r="CC47" t="s">
        <v>107</v>
      </c>
      <c r="CD47" t="s">
        <v>104</v>
      </c>
      <c r="CE47" t="s">
        <v>73</v>
      </c>
      <c r="CF47" t="s">
        <v>104</v>
      </c>
      <c r="CG47" s="5" t="s">
        <v>1125</v>
      </c>
      <c r="CH47" t="s">
        <v>1605</v>
      </c>
      <c r="CI47" t="s">
        <v>1126</v>
      </c>
      <c r="CJ47" t="s">
        <v>1127</v>
      </c>
      <c r="CK47" t="s">
        <v>92</v>
      </c>
      <c r="CL47" t="s">
        <v>73</v>
      </c>
      <c r="CM47" t="s">
        <v>73</v>
      </c>
      <c r="CN47" t="s">
        <v>104</v>
      </c>
      <c r="CO47" t="s">
        <v>1128</v>
      </c>
      <c r="CP47" t="s">
        <v>104</v>
      </c>
      <c r="CQ47" t="s">
        <v>1129</v>
      </c>
      <c r="CR47"/>
      <c r="CS47" t="s">
        <v>104</v>
      </c>
      <c r="CT47" t="s">
        <v>1130</v>
      </c>
      <c r="CU47"/>
      <c r="CV47" t="s">
        <v>104</v>
      </c>
      <c r="CW47" t="s">
        <v>1131</v>
      </c>
      <c r="CX47"/>
      <c r="CY47" t="s">
        <v>104</v>
      </c>
      <c r="CZ47" t="s">
        <v>1132</v>
      </c>
    </row>
    <row r="48" spans="1:104" s="4" customFormat="1" ht="56" customHeight="1" x14ac:dyDescent="0.2">
      <c r="A48">
        <v>1775</v>
      </c>
      <c r="B48">
        <v>442</v>
      </c>
      <c r="C48" t="s">
        <v>70</v>
      </c>
      <c r="D48" t="s">
        <v>1133</v>
      </c>
      <c r="E48" t="s">
        <v>1134</v>
      </c>
      <c r="F48" t="s">
        <v>13</v>
      </c>
      <c r="G48">
        <v>2020</v>
      </c>
      <c r="H48">
        <v>116629</v>
      </c>
      <c r="I48" t="s">
        <v>73</v>
      </c>
      <c r="J48" t="s">
        <v>1135</v>
      </c>
      <c r="K48">
        <v>20</v>
      </c>
      <c r="L48" t="s">
        <v>1136</v>
      </c>
      <c r="M48" t="s">
        <v>77</v>
      </c>
      <c r="N48" t="s">
        <v>78</v>
      </c>
      <c r="O48" t="s">
        <v>73</v>
      </c>
      <c r="P48" t="s">
        <v>1137</v>
      </c>
      <c r="Q48" t="s">
        <v>391</v>
      </c>
      <c r="R48" t="s">
        <v>1138</v>
      </c>
      <c r="S48" t="s">
        <v>82</v>
      </c>
      <c r="T48" t="s">
        <v>83</v>
      </c>
      <c r="U48" t="s">
        <v>73</v>
      </c>
      <c r="V48" t="s">
        <v>83</v>
      </c>
      <c r="W48" t="s">
        <v>83</v>
      </c>
      <c r="X48" t="s">
        <v>83</v>
      </c>
      <c r="Y48" t="s">
        <v>83</v>
      </c>
      <c r="Z48" t="s">
        <v>85</v>
      </c>
      <c r="AA48" t="s">
        <v>85</v>
      </c>
      <c r="AB48" t="s">
        <v>1139</v>
      </c>
      <c r="AC48" t="s">
        <v>174</v>
      </c>
      <c r="AD48" t="s">
        <v>174</v>
      </c>
      <c r="AE48" t="s">
        <v>84</v>
      </c>
      <c r="AF48" t="s">
        <v>89</v>
      </c>
      <c r="AG48" t="s">
        <v>89</v>
      </c>
      <c r="AH48" t="s">
        <v>89</v>
      </c>
      <c r="AI48" t="s">
        <v>89</v>
      </c>
      <c r="AJ48" t="s">
        <v>1140</v>
      </c>
      <c r="AK48" t="s">
        <v>1141</v>
      </c>
      <c r="AL48" t="s">
        <v>104</v>
      </c>
      <c r="AM48" t="s">
        <v>789</v>
      </c>
      <c r="AN48" t="s">
        <v>1142</v>
      </c>
      <c r="AO48" t="s">
        <v>1143</v>
      </c>
      <c r="AP48" t="s">
        <v>1144</v>
      </c>
      <c r="AQ48"/>
      <c r="AR48"/>
      <c r="AS48">
        <v>2440933</v>
      </c>
      <c r="AT48">
        <v>2440933</v>
      </c>
      <c r="AU48">
        <v>2440933</v>
      </c>
      <c r="AV48">
        <v>2440933</v>
      </c>
      <c r="AW48">
        <v>0</v>
      </c>
      <c r="AX48">
        <v>0</v>
      </c>
      <c r="AY48" t="s">
        <v>85</v>
      </c>
      <c r="AZ48">
        <v>57</v>
      </c>
      <c r="BA48" t="s">
        <v>1081</v>
      </c>
      <c r="BB48" t="s">
        <v>83</v>
      </c>
      <c r="BC48" t="s">
        <v>514</v>
      </c>
      <c r="BD48" t="s">
        <v>83</v>
      </c>
      <c r="BE48">
        <v>2002</v>
      </c>
      <c r="BF48">
        <v>2013</v>
      </c>
      <c r="BG48" t="s">
        <v>249</v>
      </c>
      <c r="BH48" t="s">
        <v>99</v>
      </c>
      <c r="BI48" t="s">
        <v>100</v>
      </c>
      <c r="BJ48">
        <v>42975</v>
      </c>
      <c r="BK48" t="s">
        <v>1145</v>
      </c>
      <c r="BL48" t="s">
        <v>73</v>
      </c>
      <c r="BM48" t="s">
        <v>102</v>
      </c>
      <c r="BN48" t="s">
        <v>73</v>
      </c>
      <c r="BO48" t="s">
        <v>73</v>
      </c>
      <c r="BP48" t="s">
        <v>73</v>
      </c>
      <c r="BQ48" t="s">
        <v>73</v>
      </c>
      <c r="BR48" t="s">
        <v>102</v>
      </c>
      <c r="BS48" t="s">
        <v>73</v>
      </c>
      <c r="BT48" t="s">
        <v>73</v>
      </c>
      <c r="BU48" t="s">
        <v>73</v>
      </c>
      <c r="BV48" t="s">
        <v>73</v>
      </c>
      <c r="BW48" t="s">
        <v>1146</v>
      </c>
      <c r="BX48" t="s">
        <v>1146</v>
      </c>
      <c r="BY48" t="s">
        <v>104</v>
      </c>
      <c r="BZ48" t="s">
        <v>105</v>
      </c>
      <c r="CA48" t="s">
        <v>1147</v>
      </c>
      <c r="CB48" t="s">
        <v>1582</v>
      </c>
      <c r="CC48" t="s">
        <v>107</v>
      </c>
      <c r="CD48" t="s">
        <v>73</v>
      </c>
      <c r="CE48" t="s">
        <v>73</v>
      </c>
      <c r="CF48" t="s">
        <v>104</v>
      </c>
      <c r="CG48" s="5" t="s">
        <v>1148</v>
      </c>
      <c r="CH48" t="s">
        <v>1587</v>
      </c>
      <c r="CI48" t="s">
        <v>1149</v>
      </c>
      <c r="CJ48" t="s">
        <v>1150</v>
      </c>
      <c r="CK48" t="s">
        <v>104</v>
      </c>
      <c r="CL48" t="s">
        <v>1151</v>
      </c>
      <c r="CM48" t="s">
        <v>1599</v>
      </c>
      <c r="CN48" t="s">
        <v>104</v>
      </c>
      <c r="CO48" t="s">
        <v>1152</v>
      </c>
      <c r="CP48" t="s">
        <v>104</v>
      </c>
      <c r="CQ48" t="s">
        <v>1153</v>
      </c>
      <c r="CR48"/>
      <c r="CS48" t="s">
        <v>73</v>
      </c>
      <c r="CT48" t="s">
        <v>73</v>
      </c>
      <c r="CU48"/>
      <c r="CV48" t="s">
        <v>73</v>
      </c>
      <c r="CW48" t="s">
        <v>73</v>
      </c>
      <c r="CX48"/>
      <c r="CY48" t="s">
        <v>73</v>
      </c>
      <c r="CZ48" t="s">
        <v>73</v>
      </c>
    </row>
    <row r="52" spans="1:104" x14ac:dyDescent="0.2">
      <c r="A52" s="8" t="s">
        <v>1623</v>
      </c>
    </row>
    <row r="53" spans="1:104" ht="63" customHeight="1" x14ac:dyDescent="0.2">
      <c r="A53">
        <v>2558</v>
      </c>
      <c r="B53" t="s">
        <v>1158</v>
      </c>
      <c r="D53" t="s">
        <v>34</v>
      </c>
      <c r="F53" t="s">
        <v>3</v>
      </c>
      <c r="H53">
        <v>140432</v>
      </c>
      <c r="I53">
        <v>2017</v>
      </c>
      <c r="J53">
        <v>2047</v>
      </c>
      <c r="K53">
        <v>30</v>
      </c>
      <c r="L53" t="s">
        <v>1439</v>
      </c>
      <c r="M53" t="s">
        <v>117</v>
      </c>
      <c r="N53" t="s">
        <v>1445</v>
      </c>
      <c r="O53" t="s">
        <v>77</v>
      </c>
      <c r="P53" t="s">
        <v>1446</v>
      </c>
      <c r="Q53" t="s">
        <v>80</v>
      </c>
      <c r="R53" t="s">
        <v>82</v>
      </c>
      <c r="S53" t="s">
        <v>82</v>
      </c>
      <c r="U53" t="s">
        <v>84</v>
      </c>
      <c r="V53" t="s">
        <v>83</v>
      </c>
      <c r="W53" t="s">
        <v>83</v>
      </c>
      <c r="X53" t="s">
        <v>83</v>
      </c>
      <c r="Y53" t="s">
        <v>83</v>
      </c>
      <c r="Z53" t="s">
        <v>85</v>
      </c>
      <c r="AA53" t="s">
        <v>85</v>
      </c>
      <c r="AB53" t="s">
        <v>1447</v>
      </c>
      <c r="AC53" t="s">
        <v>88</v>
      </c>
      <c r="AD53" t="s">
        <v>88</v>
      </c>
      <c r="AE53" t="s">
        <v>84</v>
      </c>
      <c r="AJ53">
        <v>-50.161000000000001</v>
      </c>
      <c r="AK53">
        <v>-2.4</v>
      </c>
      <c r="AL53" t="s">
        <v>92</v>
      </c>
      <c r="AM53" t="s">
        <v>93</v>
      </c>
      <c r="AN53" t="s">
        <v>124</v>
      </c>
      <c r="AO53" t="s">
        <v>1448</v>
      </c>
      <c r="AP53" t="s">
        <v>1101</v>
      </c>
      <c r="AS53" s="12">
        <v>30138794</v>
      </c>
      <c r="AT53" s="12"/>
      <c r="AV53" s="12"/>
      <c r="AY53" t="s">
        <v>85</v>
      </c>
      <c r="BA53" t="s">
        <v>1449</v>
      </c>
      <c r="BC53" t="s">
        <v>227</v>
      </c>
      <c r="BG53" t="s">
        <v>1450</v>
      </c>
      <c r="BH53" t="s">
        <v>99</v>
      </c>
      <c r="BI53" t="s">
        <v>409</v>
      </c>
      <c r="BL53" t="s">
        <v>73</v>
      </c>
      <c r="BM53" t="s">
        <v>151</v>
      </c>
      <c r="BN53" t="s">
        <v>409</v>
      </c>
      <c r="BR53" t="s">
        <v>102</v>
      </c>
      <c r="BY53" t="s">
        <v>85</v>
      </c>
      <c r="BZ53" t="s">
        <v>105</v>
      </c>
      <c r="CA53" t="s">
        <v>1451</v>
      </c>
      <c r="CB53" t="s">
        <v>1574</v>
      </c>
      <c r="CC53" t="s">
        <v>129</v>
      </c>
      <c r="CD53" t="s">
        <v>85</v>
      </c>
      <c r="CE53" t="s">
        <v>73</v>
      </c>
      <c r="CF53" t="s">
        <v>85</v>
      </c>
      <c r="CG53" s="21" t="s">
        <v>1453</v>
      </c>
      <c r="CH53" s="23" t="s">
        <v>1588</v>
      </c>
      <c r="CI53" t="s">
        <v>391</v>
      </c>
      <c r="CJ53" t="s">
        <v>1454</v>
      </c>
      <c r="CK53" t="s">
        <v>92</v>
      </c>
      <c r="CL53" t="s">
        <v>1455</v>
      </c>
      <c r="CM53" t="s">
        <v>73</v>
      </c>
      <c r="CN53" t="s">
        <v>104</v>
      </c>
      <c r="CO53" t="s">
        <v>1456</v>
      </c>
      <c r="CP53" t="s">
        <v>1457</v>
      </c>
      <c r="CQ53" t="s">
        <v>1458</v>
      </c>
      <c r="CS53" t="s">
        <v>92</v>
      </c>
      <c r="CT53" t="s">
        <v>92</v>
      </c>
      <c r="CV53" t="s">
        <v>104</v>
      </c>
      <c r="CW53" t="s">
        <v>1459</v>
      </c>
      <c r="CY53" t="s">
        <v>104</v>
      </c>
      <c r="CZ53" t="s">
        <v>1460</v>
      </c>
    </row>
    <row r="54" spans="1:104" ht="48" x14ac:dyDescent="0.2">
      <c r="A54">
        <v>2566</v>
      </c>
      <c r="B54" s="3" t="s">
        <v>1158</v>
      </c>
      <c r="D54" t="s">
        <v>35</v>
      </c>
      <c r="F54" t="s">
        <v>1441</v>
      </c>
      <c r="H54">
        <v>135060</v>
      </c>
      <c r="I54">
        <v>2016</v>
      </c>
      <c r="J54">
        <v>2046</v>
      </c>
      <c r="K54">
        <v>30</v>
      </c>
      <c r="L54" t="s">
        <v>1475</v>
      </c>
      <c r="M54" t="s">
        <v>117</v>
      </c>
      <c r="N54" t="s">
        <v>77</v>
      </c>
      <c r="O54" t="s">
        <v>1474</v>
      </c>
      <c r="P54" t="s">
        <v>1476</v>
      </c>
      <c r="Q54" t="s">
        <v>80</v>
      </c>
      <c r="R54" t="s">
        <v>82</v>
      </c>
      <c r="S54" t="s">
        <v>82</v>
      </c>
      <c r="U54" t="s">
        <v>104</v>
      </c>
      <c r="Z54" t="s">
        <v>85</v>
      </c>
      <c r="AA54" t="s">
        <v>85</v>
      </c>
      <c r="AB54" t="s">
        <v>1477</v>
      </c>
      <c r="AC54" t="s">
        <v>1478</v>
      </c>
      <c r="AD54" t="s">
        <v>174</v>
      </c>
      <c r="AE54" t="s">
        <v>84</v>
      </c>
      <c r="AJ54">
        <v>-57.508772</v>
      </c>
      <c r="AK54">
        <v>-17.967421999999999</v>
      </c>
      <c r="AL54" t="s">
        <v>104</v>
      </c>
      <c r="AM54" t="s">
        <v>93</v>
      </c>
      <c r="AN54" t="s">
        <v>1481</v>
      </c>
      <c r="AO54" t="s">
        <v>1480</v>
      </c>
      <c r="AP54" t="s">
        <v>1479</v>
      </c>
      <c r="AS54" t="s">
        <v>1482</v>
      </c>
      <c r="BA54" t="s">
        <v>1483</v>
      </c>
      <c r="BC54" t="s">
        <v>227</v>
      </c>
      <c r="BG54" t="s">
        <v>1485</v>
      </c>
      <c r="BH54" t="s">
        <v>99</v>
      </c>
      <c r="BI54" t="s">
        <v>493</v>
      </c>
      <c r="BM54" t="s">
        <v>151</v>
      </c>
      <c r="BN54" t="s">
        <v>1486</v>
      </c>
      <c r="BY54" t="s">
        <v>1461</v>
      </c>
      <c r="BZ54" t="s">
        <v>1462</v>
      </c>
      <c r="CA54" t="s">
        <v>1463</v>
      </c>
      <c r="CB54" t="s">
        <v>1577</v>
      </c>
      <c r="CC54" t="s">
        <v>129</v>
      </c>
      <c r="CD54" t="s">
        <v>85</v>
      </c>
      <c r="CE54" t="s">
        <v>1464</v>
      </c>
      <c r="CF54" t="s">
        <v>85</v>
      </c>
      <c r="CG54" s="21" t="s">
        <v>1465</v>
      </c>
      <c r="CH54" s="23" t="s">
        <v>1589</v>
      </c>
      <c r="CI54" t="s">
        <v>1466</v>
      </c>
      <c r="CJ54" t="s">
        <v>1467</v>
      </c>
      <c r="CK54" t="s">
        <v>104</v>
      </c>
      <c r="CL54" t="s">
        <v>1468</v>
      </c>
      <c r="CM54" t="s">
        <v>1599</v>
      </c>
      <c r="CN54" t="s">
        <v>104</v>
      </c>
      <c r="CO54" t="s">
        <v>1471</v>
      </c>
      <c r="CP54" t="s">
        <v>104</v>
      </c>
      <c r="CQ54" t="s">
        <v>1469</v>
      </c>
      <c r="CS54" t="s">
        <v>104</v>
      </c>
      <c r="CT54" t="s">
        <v>1470</v>
      </c>
      <c r="CV54" t="s">
        <v>104</v>
      </c>
      <c r="CW54" t="s">
        <v>1472</v>
      </c>
      <c r="CY54" t="s">
        <v>104</v>
      </c>
      <c r="CZ54" t="s">
        <v>1473</v>
      </c>
    </row>
    <row r="55" spans="1:104" ht="96" x14ac:dyDescent="0.2">
      <c r="A55">
        <v>2723</v>
      </c>
      <c r="B55" t="s">
        <v>1158</v>
      </c>
      <c r="D55" t="s">
        <v>45</v>
      </c>
      <c r="F55" t="s">
        <v>4</v>
      </c>
      <c r="H55">
        <v>65452</v>
      </c>
      <c r="I55">
        <v>2019</v>
      </c>
      <c r="J55">
        <v>2049</v>
      </c>
      <c r="K55">
        <v>30</v>
      </c>
      <c r="L55" t="s">
        <v>1493</v>
      </c>
      <c r="M55" t="s">
        <v>117</v>
      </c>
      <c r="N55" t="s">
        <v>1445</v>
      </c>
      <c r="O55" t="s">
        <v>77</v>
      </c>
      <c r="P55" t="s">
        <v>1494</v>
      </c>
      <c r="Q55" t="s">
        <v>80</v>
      </c>
      <c r="R55" t="s">
        <v>82</v>
      </c>
      <c r="S55" t="s">
        <v>82</v>
      </c>
      <c r="U55" t="s">
        <v>92</v>
      </c>
      <c r="V55" t="s">
        <v>83</v>
      </c>
      <c r="W55" t="s">
        <v>83</v>
      </c>
      <c r="X55" t="s">
        <v>83</v>
      </c>
      <c r="Y55" t="s">
        <v>83</v>
      </c>
      <c r="Z55" t="s">
        <v>85</v>
      </c>
      <c r="AA55" t="s">
        <v>85</v>
      </c>
      <c r="AB55" t="s">
        <v>1495</v>
      </c>
      <c r="AC55" t="s">
        <v>174</v>
      </c>
      <c r="AD55" t="s">
        <v>174</v>
      </c>
      <c r="AE55" t="s">
        <v>85</v>
      </c>
      <c r="AJ55">
        <v>-76.587708000000006</v>
      </c>
      <c r="AK55">
        <v>5.0946530000000001</v>
      </c>
      <c r="AL55" t="s">
        <v>104</v>
      </c>
      <c r="AM55" t="s">
        <v>93</v>
      </c>
      <c r="AN55" t="s">
        <v>1496</v>
      </c>
      <c r="AO55" t="s">
        <v>1497</v>
      </c>
      <c r="AP55" t="s">
        <v>1498</v>
      </c>
      <c r="AS55" s="12">
        <v>7315072</v>
      </c>
      <c r="BA55" t="s">
        <v>1499</v>
      </c>
      <c r="BC55" t="s">
        <v>227</v>
      </c>
      <c r="BG55" t="s">
        <v>1485</v>
      </c>
      <c r="BH55" t="s">
        <v>99</v>
      </c>
      <c r="BI55" t="s">
        <v>409</v>
      </c>
      <c r="BM55" t="s">
        <v>151</v>
      </c>
      <c r="BN55" t="s">
        <v>409</v>
      </c>
      <c r="BY55" t="s">
        <v>1461</v>
      </c>
      <c r="BZ55" t="s">
        <v>1462</v>
      </c>
      <c r="CA55" t="s">
        <v>1500</v>
      </c>
      <c r="CB55" t="s">
        <v>1578</v>
      </c>
      <c r="CC55" t="s">
        <v>129</v>
      </c>
      <c r="CD55" t="s">
        <v>85</v>
      </c>
      <c r="CE55">
        <v>240</v>
      </c>
      <c r="CF55" t="s">
        <v>85</v>
      </c>
      <c r="CG55" s="21" t="s">
        <v>1501</v>
      </c>
      <c r="CH55" s="23" t="s">
        <v>1596</v>
      </c>
      <c r="CI55" t="s">
        <v>1105</v>
      </c>
      <c r="CJ55" t="s">
        <v>1502</v>
      </c>
      <c r="CK55" t="s">
        <v>104</v>
      </c>
      <c r="CL55" t="s">
        <v>1503</v>
      </c>
      <c r="CM55" t="s">
        <v>1599</v>
      </c>
      <c r="CN55" t="s">
        <v>85</v>
      </c>
      <c r="CO55" t="s">
        <v>1506</v>
      </c>
      <c r="CP55" t="s">
        <v>104</v>
      </c>
      <c r="CQ55" t="s">
        <v>1504</v>
      </c>
      <c r="CS55" t="s">
        <v>104</v>
      </c>
      <c r="CT55" t="s">
        <v>1505</v>
      </c>
      <c r="CV55" t="s">
        <v>104</v>
      </c>
      <c r="CW55" t="s">
        <v>1507</v>
      </c>
      <c r="CY55" t="s">
        <v>104</v>
      </c>
      <c r="CZ55" t="s">
        <v>1508</v>
      </c>
    </row>
    <row r="56" spans="1:104" ht="27" customHeight="1" x14ac:dyDescent="0.2">
      <c r="A56">
        <v>2502</v>
      </c>
      <c r="B56" t="s">
        <v>1158</v>
      </c>
      <c r="D56" t="s">
        <v>52</v>
      </c>
      <c r="F56" t="s">
        <v>1509</v>
      </c>
      <c r="H56" s="14">
        <v>171584</v>
      </c>
      <c r="I56">
        <v>2017</v>
      </c>
      <c r="J56">
        <v>2047</v>
      </c>
      <c r="K56">
        <v>30</v>
      </c>
      <c r="L56" s="15" t="s">
        <v>1521</v>
      </c>
      <c r="M56" t="s">
        <v>117</v>
      </c>
      <c r="N56" t="s">
        <v>1445</v>
      </c>
      <c r="O56" t="s">
        <v>77</v>
      </c>
      <c r="P56" t="s">
        <v>1522</v>
      </c>
      <c r="Q56" t="s">
        <v>80</v>
      </c>
      <c r="R56" t="s">
        <v>82</v>
      </c>
      <c r="S56" t="s">
        <v>82</v>
      </c>
      <c r="U56" t="s">
        <v>85</v>
      </c>
      <c r="V56" t="s">
        <v>1523</v>
      </c>
      <c r="Z56" t="s">
        <v>1452</v>
      </c>
      <c r="AA56" t="s">
        <v>85</v>
      </c>
      <c r="AB56" t="s">
        <v>1525</v>
      </c>
      <c r="AC56" t="s">
        <v>1524</v>
      </c>
      <c r="AD56" t="s">
        <v>174</v>
      </c>
      <c r="AE56" t="s">
        <v>84</v>
      </c>
      <c r="AJ56">
        <v>-69.973701000000005</v>
      </c>
      <c r="AK56">
        <v>-11.359049000000001</v>
      </c>
      <c r="AL56" t="s">
        <v>92</v>
      </c>
      <c r="AM56" t="s">
        <v>93</v>
      </c>
      <c r="AN56" t="s">
        <v>1526</v>
      </c>
      <c r="AO56" t="s">
        <v>1527</v>
      </c>
      <c r="AP56" t="s">
        <v>1101</v>
      </c>
      <c r="AR56" s="14">
        <v>1575029.7</v>
      </c>
      <c r="AS56">
        <f>AR56*30</f>
        <v>47250891</v>
      </c>
      <c r="BA56" t="s">
        <v>1528</v>
      </c>
      <c r="BC56" t="s">
        <v>1484</v>
      </c>
      <c r="BG56" t="s">
        <v>1529</v>
      </c>
      <c r="BH56" t="s">
        <v>99</v>
      </c>
      <c r="BI56" t="s">
        <v>1530</v>
      </c>
      <c r="BM56" t="s">
        <v>151</v>
      </c>
      <c r="BN56" t="s">
        <v>409</v>
      </c>
      <c r="BY56" t="s">
        <v>1461</v>
      </c>
      <c r="BZ56" t="s">
        <v>1462</v>
      </c>
      <c r="CA56" t="s">
        <v>1500</v>
      </c>
      <c r="CB56" t="s">
        <v>1578</v>
      </c>
      <c r="CC56" t="s">
        <v>129</v>
      </c>
      <c r="CD56" t="s">
        <v>1461</v>
      </c>
      <c r="CE56" t="s">
        <v>1512</v>
      </c>
      <c r="CF56" t="s">
        <v>85</v>
      </c>
      <c r="CG56" s="21" t="s">
        <v>1513</v>
      </c>
      <c r="CH56" s="23" t="s">
        <v>1597</v>
      </c>
      <c r="CI56" t="s">
        <v>1105</v>
      </c>
      <c r="CJ56" t="s">
        <v>1516</v>
      </c>
      <c r="CK56" t="s">
        <v>85</v>
      </c>
      <c r="CL56" t="s">
        <v>1517</v>
      </c>
      <c r="CM56" t="s">
        <v>1601</v>
      </c>
      <c r="CN56" t="s">
        <v>85</v>
      </c>
      <c r="CO56" t="s">
        <v>1518</v>
      </c>
      <c r="CP56" t="s">
        <v>85</v>
      </c>
      <c r="CQ56" t="s">
        <v>1515</v>
      </c>
      <c r="CS56" t="s">
        <v>85</v>
      </c>
      <c r="CT56" t="s">
        <v>1520</v>
      </c>
      <c r="CV56" t="s">
        <v>85</v>
      </c>
      <c r="CW56" t="s">
        <v>1519</v>
      </c>
      <c r="CY56" t="s">
        <v>85</v>
      </c>
      <c r="CZ56" t="s">
        <v>1514</v>
      </c>
    </row>
    <row r="57" spans="1:104" ht="64" x14ac:dyDescent="0.2">
      <c r="A57" t="s">
        <v>6</v>
      </c>
      <c r="B57" t="s">
        <v>1158</v>
      </c>
      <c r="D57" t="s">
        <v>53</v>
      </c>
      <c r="F57" t="s">
        <v>7</v>
      </c>
      <c r="H57" s="16">
        <v>1225030</v>
      </c>
      <c r="I57">
        <v>2016</v>
      </c>
      <c r="J57">
        <v>2045</v>
      </c>
      <c r="K57">
        <v>30</v>
      </c>
      <c r="L57" t="s">
        <v>1531</v>
      </c>
      <c r="M57" t="s">
        <v>117</v>
      </c>
      <c r="N57" t="s">
        <v>1533</v>
      </c>
      <c r="O57" t="s">
        <v>1474</v>
      </c>
      <c r="P57" t="s">
        <v>1534</v>
      </c>
      <c r="Q57" t="s">
        <v>570</v>
      </c>
      <c r="R57" t="s">
        <v>82</v>
      </c>
      <c r="S57" t="s">
        <v>82</v>
      </c>
      <c r="U57" t="s">
        <v>104</v>
      </c>
      <c r="V57" t="s">
        <v>1535</v>
      </c>
      <c r="Z57" t="s">
        <v>1452</v>
      </c>
      <c r="AA57" t="s">
        <v>85</v>
      </c>
      <c r="AB57" s="13" t="s">
        <v>1547</v>
      </c>
      <c r="AC57" t="s">
        <v>1524</v>
      </c>
      <c r="AD57" t="s">
        <v>174</v>
      </c>
      <c r="AE57" t="s">
        <v>84</v>
      </c>
      <c r="AJ57">
        <v>23.941061999999999</v>
      </c>
      <c r="AK57">
        <v>6.251735</v>
      </c>
      <c r="AL57" t="s">
        <v>92</v>
      </c>
      <c r="AM57" t="s">
        <v>789</v>
      </c>
      <c r="AN57" t="s">
        <v>1536</v>
      </c>
      <c r="AO57" t="s">
        <v>1537</v>
      </c>
      <c r="AP57" t="s">
        <v>1538</v>
      </c>
      <c r="AR57" s="16">
        <v>398553</v>
      </c>
      <c r="AS57" s="12">
        <f>AR57*30</f>
        <v>11956590</v>
      </c>
      <c r="BA57" t="s">
        <v>1499</v>
      </c>
      <c r="BC57" t="s">
        <v>1539</v>
      </c>
      <c r="BG57" t="s">
        <v>1485</v>
      </c>
      <c r="BH57" t="s">
        <v>99</v>
      </c>
      <c r="BI57" t="s">
        <v>409</v>
      </c>
      <c r="BM57" t="s">
        <v>151</v>
      </c>
      <c r="BN57" t="s">
        <v>409</v>
      </c>
      <c r="BY57" t="s">
        <v>1461</v>
      </c>
      <c r="BZ57" t="s">
        <v>1462</v>
      </c>
      <c r="CA57" t="s">
        <v>1540</v>
      </c>
      <c r="CB57" t="s">
        <v>1578</v>
      </c>
      <c r="CC57" t="s">
        <v>129</v>
      </c>
      <c r="CD57" t="s">
        <v>85</v>
      </c>
      <c r="CE57">
        <v>400</v>
      </c>
      <c r="CF57" t="s">
        <v>85</v>
      </c>
      <c r="CG57" s="21" t="s">
        <v>1541</v>
      </c>
      <c r="CH57" s="23" t="s">
        <v>1596</v>
      </c>
      <c r="CI57" t="s">
        <v>1548</v>
      </c>
      <c r="CJ57" t="s">
        <v>1549</v>
      </c>
      <c r="CK57" t="s">
        <v>84</v>
      </c>
      <c r="CL57" t="s">
        <v>73</v>
      </c>
      <c r="CM57" t="s">
        <v>73</v>
      </c>
      <c r="CN57" t="s">
        <v>85</v>
      </c>
      <c r="CO57" t="s">
        <v>1543</v>
      </c>
      <c r="CP57" t="s">
        <v>85</v>
      </c>
      <c r="CQ57" t="s">
        <v>1542</v>
      </c>
      <c r="CS57" t="s">
        <v>85</v>
      </c>
      <c r="CT57" t="s">
        <v>1544</v>
      </c>
      <c r="CV57" t="s">
        <v>85</v>
      </c>
      <c r="CW57" t="s">
        <v>1545</v>
      </c>
      <c r="CY57" t="s">
        <v>85</v>
      </c>
      <c r="CZ57" t="s">
        <v>1546</v>
      </c>
    </row>
    <row r="58" spans="1:104" x14ac:dyDescent="0.2">
      <c r="AB58" s="13"/>
    </row>
  </sheetData>
  <conditionalFormatting sqref="B1">
    <cfRule type="duplicateValues" dxfId="2" priority="1"/>
  </conditionalFormatting>
  <conditionalFormatting sqref="BK1">
    <cfRule type="duplicateValues" dxfId="1" priority="2"/>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28F6C-855D-F948-9186-8E26CF4A0839}">
  <dimension ref="A1:B53"/>
  <sheetViews>
    <sheetView workbookViewId="0">
      <selection activeCell="F8" sqref="F8"/>
    </sheetView>
  </sheetViews>
  <sheetFormatPr baseColWidth="10" defaultRowHeight="16" x14ac:dyDescent="0.2"/>
  <cols>
    <col min="1" max="1" width="14" customWidth="1"/>
  </cols>
  <sheetData>
    <row r="1" spans="1:2" x14ac:dyDescent="0.2">
      <c r="A1" s="26" t="s">
        <v>1621</v>
      </c>
      <c r="B1" s="27" t="s">
        <v>1616</v>
      </c>
    </row>
    <row r="2" spans="1:2" x14ac:dyDescent="0.2">
      <c r="A2">
        <v>875</v>
      </c>
      <c r="B2" t="s">
        <v>1618</v>
      </c>
    </row>
    <row r="3" spans="1:2" x14ac:dyDescent="0.2">
      <c r="A3">
        <v>977</v>
      </c>
      <c r="B3" t="s">
        <v>1617</v>
      </c>
    </row>
    <row r="4" spans="1:2" x14ac:dyDescent="0.2">
      <c r="A4">
        <v>963</v>
      </c>
      <c r="B4" t="s">
        <v>1618</v>
      </c>
    </row>
    <row r="5" spans="1:2" x14ac:dyDescent="0.2">
      <c r="A5">
        <v>1118</v>
      </c>
      <c r="B5" t="s">
        <v>1617</v>
      </c>
    </row>
    <row r="6" spans="1:2" x14ac:dyDescent="0.2">
      <c r="A6">
        <v>1115</v>
      </c>
      <c r="B6" t="s">
        <v>1617</v>
      </c>
    </row>
    <row r="7" spans="1:2" x14ac:dyDescent="0.2">
      <c r="A7">
        <v>1329</v>
      </c>
      <c r="B7" t="s">
        <v>1617</v>
      </c>
    </row>
    <row r="8" spans="1:2" x14ac:dyDescent="0.2">
      <c r="A8">
        <v>1503</v>
      </c>
      <c r="B8" t="s">
        <v>1617</v>
      </c>
    </row>
    <row r="9" spans="1:2" x14ac:dyDescent="0.2">
      <c r="A9">
        <v>1113</v>
      </c>
      <c r="B9" t="s">
        <v>1618</v>
      </c>
    </row>
    <row r="10" spans="1:2" x14ac:dyDescent="0.2">
      <c r="A10">
        <v>1112</v>
      </c>
      <c r="B10" t="s">
        <v>1618</v>
      </c>
    </row>
    <row r="11" spans="1:2" x14ac:dyDescent="0.2">
      <c r="A11">
        <v>1654</v>
      </c>
      <c r="B11" t="s">
        <v>1617</v>
      </c>
    </row>
    <row r="12" spans="1:2" x14ac:dyDescent="0.2">
      <c r="A12">
        <v>1571</v>
      </c>
      <c r="B12" t="s">
        <v>1617</v>
      </c>
    </row>
    <row r="13" spans="1:2" x14ac:dyDescent="0.2">
      <c r="A13">
        <v>1686</v>
      </c>
      <c r="B13" t="s">
        <v>1617</v>
      </c>
    </row>
    <row r="14" spans="1:2" x14ac:dyDescent="0.2">
      <c r="A14">
        <v>2252</v>
      </c>
      <c r="B14" t="s">
        <v>1617</v>
      </c>
    </row>
    <row r="15" spans="1:2" x14ac:dyDescent="0.2">
      <c r="A15">
        <v>2373</v>
      </c>
      <c r="B15" t="s">
        <v>1617</v>
      </c>
    </row>
    <row r="16" spans="1:2" x14ac:dyDescent="0.2">
      <c r="A16">
        <v>2539</v>
      </c>
      <c r="B16" t="s">
        <v>1618</v>
      </c>
    </row>
    <row r="17" spans="1:2" x14ac:dyDescent="0.2">
      <c r="A17">
        <v>2508</v>
      </c>
      <c r="B17" t="s">
        <v>1617</v>
      </c>
    </row>
    <row r="18" spans="1:2" x14ac:dyDescent="0.2">
      <c r="A18">
        <v>981</v>
      </c>
      <c r="B18" t="s">
        <v>1617</v>
      </c>
    </row>
    <row r="19" spans="1:2" x14ac:dyDescent="0.2">
      <c r="A19">
        <v>904</v>
      </c>
      <c r="B19" t="s">
        <v>1619</v>
      </c>
    </row>
    <row r="20" spans="1:2" x14ac:dyDescent="0.2">
      <c r="A20">
        <v>1650</v>
      </c>
      <c r="B20" t="s">
        <v>1617</v>
      </c>
    </row>
    <row r="21" spans="1:2" x14ac:dyDescent="0.2">
      <c r="A21">
        <v>856</v>
      </c>
      <c r="B21" t="s">
        <v>1620</v>
      </c>
    </row>
    <row r="22" spans="1:2" x14ac:dyDescent="0.2">
      <c r="A22">
        <v>1396</v>
      </c>
      <c r="B22" t="s">
        <v>1619</v>
      </c>
    </row>
    <row r="23" spans="1:2" x14ac:dyDescent="0.2">
      <c r="A23">
        <v>1400</v>
      </c>
      <c r="B23" t="s">
        <v>1619</v>
      </c>
    </row>
    <row r="24" spans="1:2" x14ac:dyDescent="0.2">
      <c r="A24">
        <v>1399</v>
      </c>
      <c r="B24" t="s">
        <v>1619</v>
      </c>
    </row>
    <row r="25" spans="1:2" x14ac:dyDescent="0.2">
      <c r="A25">
        <v>1392</v>
      </c>
      <c r="B25" t="s">
        <v>1619</v>
      </c>
    </row>
    <row r="26" spans="1:2" x14ac:dyDescent="0.2">
      <c r="A26">
        <v>1390</v>
      </c>
      <c r="B26" t="s">
        <v>1619</v>
      </c>
    </row>
    <row r="27" spans="1:2" x14ac:dyDescent="0.2">
      <c r="A27">
        <v>1391</v>
      </c>
      <c r="B27" t="s">
        <v>1619</v>
      </c>
    </row>
    <row r="28" spans="1:2" x14ac:dyDescent="0.2">
      <c r="A28">
        <v>1395</v>
      </c>
      <c r="B28" t="s">
        <v>1619</v>
      </c>
    </row>
    <row r="29" spans="1:2" x14ac:dyDescent="0.2">
      <c r="A29">
        <v>1389</v>
      </c>
      <c r="B29" t="s">
        <v>1619</v>
      </c>
    </row>
    <row r="30" spans="1:2" x14ac:dyDescent="0.2">
      <c r="A30">
        <v>1566</v>
      </c>
      <c r="B30" t="s">
        <v>1618</v>
      </c>
    </row>
    <row r="31" spans="1:2" x14ac:dyDescent="0.2">
      <c r="A31">
        <v>934</v>
      </c>
      <c r="B31" t="s">
        <v>1620</v>
      </c>
    </row>
    <row r="32" spans="1:2" x14ac:dyDescent="0.2">
      <c r="A32">
        <v>1398</v>
      </c>
      <c r="B32" t="s">
        <v>1617</v>
      </c>
    </row>
    <row r="33" spans="1:2" x14ac:dyDescent="0.2">
      <c r="A33">
        <v>1311</v>
      </c>
      <c r="B33" t="s">
        <v>1617</v>
      </c>
    </row>
    <row r="34" spans="1:2" x14ac:dyDescent="0.2">
      <c r="A34">
        <v>1674</v>
      </c>
      <c r="B34" t="s">
        <v>1618</v>
      </c>
    </row>
    <row r="35" spans="1:2" x14ac:dyDescent="0.2">
      <c r="A35">
        <v>1067</v>
      </c>
      <c r="B35" t="s">
        <v>1618</v>
      </c>
    </row>
    <row r="36" spans="1:2" x14ac:dyDescent="0.2">
      <c r="A36">
        <v>958</v>
      </c>
      <c r="B36" t="s">
        <v>1617</v>
      </c>
    </row>
    <row r="37" spans="1:2" x14ac:dyDescent="0.2">
      <c r="A37">
        <v>944</v>
      </c>
      <c r="B37" t="s">
        <v>1617</v>
      </c>
    </row>
    <row r="38" spans="1:2" x14ac:dyDescent="0.2">
      <c r="A38">
        <v>844</v>
      </c>
      <c r="B38" t="s">
        <v>1618</v>
      </c>
    </row>
    <row r="39" spans="1:2" x14ac:dyDescent="0.2">
      <c r="A39">
        <v>985</v>
      </c>
      <c r="B39" t="s">
        <v>1618</v>
      </c>
    </row>
    <row r="40" spans="1:2" x14ac:dyDescent="0.2">
      <c r="A40">
        <v>1218</v>
      </c>
      <c r="B40" t="s">
        <v>1618</v>
      </c>
    </row>
    <row r="41" spans="1:2" x14ac:dyDescent="0.2">
      <c r="A41">
        <v>1882</v>
      </c>
      <c r="B41" t="s">
        <v>1617</v>
      </c>
    </row>
    <row r="42" spans="1:2" x14ac:dyDescent="0.2">
      <c r="A42">
        <v>1360</v>
      </c>
      <c r="B42" t="s">
        <v>1617</v>
      </c>
    </row>
    <row r="43" spans="1:2" x14ac:dyDescent="0.2">
      <c r="A43">
        <v>2278</v>
      </c>
      <c r="B43" t="s">
        <v>1619</v>
      </c>
    </row>
    <row r="44" spans="1:2" x14ac:dyDescent="0.2">
      <c r="A44">
        <v>1799</v>
      </c>
      <c r="B44" t="s">
        <v>1617</v>
      </c>
    </row>
    <row r="45" spans="1:2" x14ac:dyDescent="0.2">
      <c r="A45">
        <v>1201</v>
      </c>
      <c r="B45" t="s">
        <v>1618</v>
      </c>
    </row>
    <row r="46" spans="1:2" x14ac:dyDescent="0.2">
      <c r="A46">
        <v>1897</v>
      </c>
      <c r="B46" t="s">
        <v>1618</v>
      </c>
    </row>
    <row r="47" spans="1:2" x14ac:dyDescent="0.2">
      <c r="A47">
        <v>1202</v>
      </c>
      <c r="B47" t="s">
        <v>1620</v>
      </c>
    </row>
    <row r="48" spans="1:2" x14ac:dyDescent="0.2">
      <c r="A48">
        <v>1775</v>
      </c>
      <c r="B48" t="s">
        <v>1620</v>
      </c>
    </row>
    <row r="49" spans="1:2" x14ac:dyDescent="0.2">
      <c r="A49">
        <v>2558</v>
      </c>
      <c r="B49" t="s">
        <v>1617</v>
      </c>
    </row>
    <row r="50" spans="1:2" x14ac:dyDescent="0.2">
      <c r="A50">
        <v>2566</v>
      </c>
      <c r="B50" t="s">
        <v>1617</v>
      </c>
    </row>
    <row r="51" spans="1:2" x14ac:dyDescent="0.2">
      <c r="A51">
        <v>2723</v>
      </c>
      <c r="B51" t="s">
        <v>1618</v>
      </c>
    </row>
    <row r="52" spans="1:2" x14ac:dyDescent="0.2">
      <c r="A52">
        <v>2502</v>
      </c>
      <c r="B52" t="s">
        <v>1619</v>
      </c>
    </row>
    <row r="53" spans="1:2" x14ac:dyDescent="0.2">
      <c r="A53" t="s">
        <v>6</v>
      </c>
      <c r="B53" t="s">
        <v>1620</v>
      </c>
    </row>
  </sheetData>
  <phoneticPr fontId="1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0A544-7D74-6149-8F31-8A75E4323222}">
  <dimension ref="A1:M284"/>
  <sheetViews>
    <sheetView tabSelected="1" topLeftCell="C1" zoomScale="85" workbookViewId="0">
      <pane ySplit="1" topLeftCell="A2" activePane="bottomLeft" state="frozen"/>
      <selection pane="bottomLeft" activeCell="K1" sqref="K1:M1"/>
    </sheetView>
  </sheetViews>
  <sheetFormatPr baseColWidth="10" defaultRowHeight="16" x14ac:dyDescent="0.2"/>
  <cols>
    <col min="1" max="1" width="19.5" customWidth="1"/>
    <col min="2" max="2" width="21.1640625" customWidth="1"/>
    <col min="3" max="3" width="22.5" customWidth="1"/>
    <col min="4" max="4" width="26.33203125" customWidth="1"/>
    <col min="5" max="5" width="19.6640625" customWidth="1"/>
    <col min="6" max="6" width="16.83203125" customWidth="1"/>
    <col min="7" max="7" width="15" customWidth="1"/>
    <col min="8" max="8" width="32.1640625" customWidth="1"/>
    <col min="10" max="10" width="44.5" customWidth="1"/>
    <col min="13" max="13" width="16.33203125" customWidth="1"/>
  </cols>
  <sheetData>
    <row r="1" spans="1:13" x14ac:dyDescent="0.2">
      <c r="A1" s="28" t="s">
        <v>260</v>
      </c>
      <c r="B1" s="28" t="s">
        <v>1187</v>
      </c>
      <c r="C1" s="28" t="s">
        <v>1188</v>
      </c>
      <c r="D1" s="28" t="s">
        <v>2</v>
      </c>
      <c r="E1" s="28" t="s">
        <v>1189</v>
      </c>
      <c r="F1" s="28" t="s">
        <v>1190</v>
      </c>
      <c r="G1" s="28" t="s">
        <v>1438</v>
      </c>
      <c r="H1" s="28" t="s">
        <v>1191</v>
      </c>
      <c r="J1" s="25" t="s">
        <v>1625</v>
      </c>
      <c r="K1" s="27" t="s">
        <v>260</v>
      </c>
      <c r="L1" s="27" t="s">
        <v>1555</v>
      </c>
      <c r="M1" s="27" t="s">
        <v>1622</v>
      </c>
    </row>
    <row r="2" spans="1:13" x14ac:dyDescent="0.2">
      <c r="A2">
        <v>137</v>
      </c>
      <c r="B2">
        <v>87</v>
      </c>
      <c r="C2" t="s">
        <v>1192</v>
      </c>
      <c r="D2" t="s">
        <v>4</v>
      </c>
      <c r="E2" t="s">
        <v>104</v>
      </c>
      <c r="F2" t="s">
        <v>1193</v>
      </c>
      <c r="G2" t="s">
        <v>1174</v>
      </c>
      <c r="H2" t="s">
        <v>1194</v>
      </c>
      <c r="K2">
        <v>137</v>
      </c>
      <c r="L2" t="s">
        <v>1556</v>
      </c>
      <c r="M2" t="s">
        <v>1557</v>
      </c>
    </row>
    <row r="3" spans="1:13" x14ac:dyDescent="0.2">
      <c r="A3">
        <v>137</v>
      </c>
      <c r="B3">
        <v>332</v>
      </c>
      <c r="C3" t="s">
        <v>1195</v>
      </c>
      <c r="D3" t="s">
        <v>4</v>
      </c>
      <c r="E3" t="s">
        <v>73</v>
      </c>
      <c r="F3" t="s">
        <v>73</v>
      </c>
      <c r="G3" t="s">
        <v>73</v>
      </c>
      <c r="H3" t="s">
        <v>1196</v>
      </c>
      <c r="K3">
        <v>201</v>
      </c>
      <c r="L3" t="s">
        <v>5</v>
      </c>
      <c r="M3" t="s">
        <v>1558</v>
      </c>
    </row>
    <row r="4" spans="1:13" x14ac:dyDescent="0.2">
      <c r="A4">
        <v>137</v>
      </c>
      <c r="B4">
        <v>514</v>
      </c>
      <c r="C4" t="s">
        <v>1197</v>
      </c>
      <c r="D4" t="s">
        <v>4</v>
      </c>
      <c r="E4" t="s">
        <v>104</v>
      </c>
      <c r="F4" t="s">
        <v>1198</v>
      </c>
      <c r="G4" t="s">
        <v>4</v>
      </c>
      <c r="H4" t="s">
        <v>1199</v>
      </c>
      <c r="K4">
        <v>202</v>
      </c>
      <c r="L4" t="s">
        <v>1212</v>
      </c>
      <c r="M4" t="s">
        <v>1559</v>
      </c>
    </row>
    <row r="5" spans="1:13" x14ac:dyDescent="0.2">
      <c r="A5">
        <v>137</v>
      </c>
      <c r="B5">
        <v>725</v>
      </c>
      <c r="C5" t="s">
        <v>1200</v>
      </c>
      <c r="D5" t="s">
        <v>4</v>
      </c>
      <c r="E5" t="s">
        <v>73</v>
      </c>
      <c r="F5" t="s">
        <v>73</v>
      </c>
      <c r="G5" t="s">
        <v>73</v>
      </c>
      <c r="H5" t="s">
        <v>1163</v>
      </c>
      <c r="K5">
        <v>204</v>
      </c>
      <c r="L5" t="s">
        <v>5</v>
      </c>
      <c r="M5" t="s">
        <v>1558</v>
      </c>
    </row>
    <row r="6" spans="1:13" x14ac:dyDescent="0.2">
      <c r="A6">
        <v>137</v>
      </c>
      <c r="B6">
        <v>967</v>
      </c>
      <c r="C6" t="s">
        <v>1201</v>
      </c>
      <c r="D6" t="s">
        <v>4</v>
      </c>
      <c r="E6" t="s">
        <v>73</v>
      </c>
      <c r="F6" t="s">
        <v>73</v>
      </c>
      <c r="G6" t="s">
        <v>73</v>
      </c>
      <c r="H6" t="s">
        <v>73</v>
      </c>
      <c r="K6">
        <v>205</v>
      </c>
      <c r="L6" t="s">
        <v>1222</v>
      </c>
      <c r="M6" t="s">
        <v>1558</v>
      </c>
    </row>
    <row r="7" spans="1:13" x14ac:dyDescent="0.2">
      <c r="A7">
        <v>137</v>
      </c>
      <c r="B7">
        <v>1552</v>
      </c>
      <c r="C7" t="s">
        <v>1202</v>
      </c>
      <c r="D7" t="s">
        <v>4</v>
      </c>
      <c r="E7" t="s">
        <v>73</v>
      </c>
      <c r="F7" t="s">
        <v>73</v>
      </c>
      <c r="G7" t="s">
        <v>73</v>
      </c>
      <c r="H7" t="s">
        <v>73</v>
      </c>
      <c r="K7">
        <v>215</v>
      </c>
      <c r="L7" t="s">
        <v>5</v>
      </c>
      <c r="M7" t="s">
        <v>1558</v>
      </c>
    </row>
    <row r="8" spans="1:13" x14ac:dyDescent="0.2">
      <c r="A8">
        <v>137</v>
      </c>
      <c r="B8">
        <v>2175</v>
      </c>
      <c r="C8" t="s">
        <v>1203</v>
      </c>
      <c r="D8" t="s">
        <v>4</v>
      </c>
      <c r="E8" t="s">
        <v>73</v>
      </c>
      <c r="F8" t="s">
        <v>73</v>
      </c>
      <c r="G8" t="s">
        <v>73</v>
      </c>
      <c r="H8" t="s">
        <v>73</v>
      </c>
      <c r="K8">
        <v>221</v>
      </c>
      <c r="L8" t="s">
        <v>5</v>
      </c>
      <c r="M8" t="s">
        <v>1276</v>
      </c>
    </row>
    <row r="9" spans="1:13" x14ac:dyDescent="0.2">
      <c r="A9">
        <v>201</v>
      </c>
      <c r="B9">
        <v>117</v>
      </c>
      <c r="C9" t="s">
        <v>1204</v>
      </c>
      <c r="D9" t="s">
        <v>5</v>
      </c>
      <c r="E9" t="s">
        <v>104</v>
      </c>
      <c r="F9" t="s">
        <v>1205</v>
      </c>
      <c r="G9" t="s">
        <v>5</v>
      </c>
      <c r="H9" t="s">
        <v>1199</v>
      </c>
      <c r="K9">
        <v>224</v>
      </c>
      <c r="L9" t="s">
        <v>5</v>
      </c>
      <c r="M9" t="s">
        <v>1558</v>
      </c>
    </row>
    <row r="10" spans="1:13" x14ac:dyDescent="0.2">
      <c r="A10">
        <v>201</v>
      </c>
      <c r="B10">
        <v>2065</v>
      </c>
      <c r="C10" t="s">
        <v>1206</v>
      </c>
      <c r="D10" t="s">
        <v>5</v>
      </c>
      <c r="E10" t="s">
        <v>73</v>
      </c>
      <c r="F10" t="s">
        <v>73</v>
      </c>
      <c r="G10" t="s">
        <v>73</v>
      </c>
      <c r="H10" t="s">
        <v>1167</v>
      </c>
      <c r="K10">
        <v>234</v>
      </c>
      <c r="L10" t="s">
        <v>3</v>
      </c>
      <c r="M10" t="s">
        <v>1559</v>
      </c>
    </row>
    <row r="11" spans="1:13" x14ac:dyDescent="0.2">
      <c r="A11">
        <v>202</v>
      </c>
      <c r="B11">
        <v>573</v>
      </c>
      <c r="C11" t="s">
        <v>1207</v>
      </c>
      <c r="D11" t="s">
        <v>5</v>
      </c>
      <c r="E11" t="s">
        <v>73</v>
      </c>
      <c r="F11" t="s">
        <v>73</v>
      </c>
      <c r="G11" t="s">
        <v>73</v>
      </c>
      <c r="H11" t="s">
        <v>1163</v>
      </c>
      <c r="K11">
        <v>236</v>
      </c>
      <c r="L11" t="s">
        <v>1560</v>
      </c>
      <c r="M11" t="s">
        <v>1559</v>
      </c>
    </row>
    <row r="12" spans="1:13" x14ac:dyDescent="0.2">
      <c r="A12">
        <v>202</v>
      </c>
      <c r="B12">
        <v>976</v>
      </c>
      <c r="C12" t="s">
        <v>1208</v>
      </c>
      <c r="D12" t="s">
        <v>5</v>
      </c>
      <c r="E12" t="s">
        <v>92</v>
      </c>
      <c r="F12" t="s">
        <v>73</v>
      </c>
      <c r="G12" t="s">
        <v>73</v>
      </c>
      <c r="H12" t="s">
        <v>1199</v>
      </c>
      <c r="K12">
        <v>237</v>
      </c>
      <c r="L12" t="s">
        <v>1174</v>
      </c>
      <c r="M12" t="s">
        <v>1559</v>
      </c>
    </row>
    <row r="13" spans="1:13" x14ac:dyDescent="0.2">
      <c r="A13">
        <v>202</v>
      </c>
      <c r="B13">
        <v>1773</v>
      </c>
      <c r="C13" t="s">
        <v>1209</v>
      </c>
      <c r="D13" t="s">
        <v>5</v>
      </c>
      <c r="E13" t="s">
        <v>92</v>
      </c>
      <c r="F13" t="s">
        <v>73</v>
      </c>
      <c r="G13" t="s">
        <v>73</v>
      </c>
      <c r="H13" t="s">
        <v>1167</v>
      </c>
      <c r="K13">
        <v>246</v>
      </c>
      <c r="L13" t="s">
        <v>3</v>
      </c>
      <c r="M13" t="s">
        <v>1558</v>
      </c>
    </row>
    <row r="14" spans="1:13" x14ac:dyDescent="0.2">
      <c r="A14">
        <v>202</v>
      </c>
      <c r="B14">
        <v>1927</v>
      </c>
      <c r="C14" t="s">
        <v>1210</v>
      </c>
      <c r="D14" t="s">
        <v>5</v>
      </c>
      <c r="E14" t="s">
        <v>104</v>
      </c>
      <c r="F14" t="s">
        <v>1211</v>
      </c>
      <c r="G14" t="s">
        <v>1212</v>
      </c>
      <c r="H14" t="s">
        <v>1163</v>
      </c>
      <c r="K14">
        <v>270</v>
      </c>
      <c r="L14" t="s">
        <v>3</v>
      </c>
      <c r="M14" t="s">
        <v>1561</v>
      </c>
    </row>
    <row r="15" spans="1:13" x14ac:dyDescent="0.2">
      <c r="A15">
        <v>204</v>
      </c>
      <c r="B15">
        <v>113</v>
      </c>
      <c r="C15" t="s">
        <v>1213</v>
      </c>
      <c r="D15" t="s">
        <v>5</v>
      </c>
      <c r="E15" t="s">
        <v>73</v>
      </c>
      <c r="F15" t="s">
        <v>73</v>
      </c>
      <c r="G15" t="s">
        <v>73</v>
      </c>
      <c r="H15" t="s">
        <v>1199</v>
      </c>
      <c r="K15">
        <v>271</v>
      </c>
      <c r="L15" t="s">
        <v>3</v>
      </c>
      <c r="M15" t="s">
        <v>1559</v>
      </c>
    </row>
    <row r="16" spans="1:13" x14ac:dyDescent="0.2">
      <c r="A16">
        <v>204</v>
      </c>
      <c r="B16">
        <v>118</v>
      </c>
      <c r="C16" t="s">
        <v>1204</v>
      </c>
      <c r="D16" t="s">
        <v>5</v>
      </c>
      <c r="E16" t="s">
        <v>104</v>
      </c>
      <c r="F16" t="s">
        <v>1205</v>
      </c>
      <c r="G16" t="s">
        <v>5</v>
      </c>
      <c r="H16" t="s">
        <v>1199</v>
      </c>
      <c r="K16">
        <v>272</v>
      </c>
      <c r="L16" t="s">
        <v>3</v>
      </c>
      <c r="M16" t="s">
        <v>1562</v>
      </c>
    </row>
    <row r="17" spans="1:13" x14ac:dyDescent="0.2">
      <c r="A17">
        <v>204</v>
      </c>
      <c r="B17">
        <v>143</v>
      </c>
      <c r="C17" t="s">
        <v>1214</v>
      </c>
      <c r="D17" t="s">
        <v>5</v>
      </c>
      <c r="E17" t="s">
        <v>73</v>
      </c>
      <c r="F17" t="s">
        <v>73</v>
      </c>
      <c r="G17" t="s">
        <v>73</v>
      </c>
      <c r="H17" t="s">
        <v>1199</v>
      </c>
      <c r="K17">
        <v>293</v>
      </c>
      <c r="L17" t="s">
        <v>5</v>
      </c>
      <c r="M17" t="s">
        <v>1558</v>
      </c>
    </row>
    <row r="18" spans="1:13" x14ac:dyDescent="0.2">
      <c r="A18">
        <v>204</v>
      </c>
      <c r="B18">
        <v>557</v>
      </c>
      <c r="C18" t="s">
        <v>1215</v>
      </c>
      <c r="D18" t="s">
        <v>5</v>
      </c>
      <c r="E18" t="s">
        <v>104</v>
      </c>
      <c r="F18" t="s">
        <v>1216</v>
      </c>
      <c r="G18" t="s">
        <v>5</v>
      </c>
      <c r="H18" t="s">
        <v>1199</v>
      </c>
      <c r="K18">
        <v>299</v>
      </c>
      <c r="L18" t="s">
        <v>1563</v>
      </c>
      <c r="M18" t="s">
        <v>1561</v>
      </c>
    </row>
    <row r="19" spans="1:13" x14ac:dyDescent="0.2">
      <c r="A19">
        <v>204</v>
      </c>
      <c r="B19">
        <v>1693</v>
      </c>
      <c r="C19" t="s">
        <v>1217</v>
      </c>
      <c r="D19" t="s">
        <v>5</v>
      </c>
      <c r="E19" t="s">
        <v>73</v>
      </c>
      <c r="F19" t="s">
        <v>73</v>
      </c>
      <c r="G19" t="s">
        <v>73</v>
      </c>
      <c r="H19" t="s">
        <v>1167</v>
      </c>
      <c r="K19">
        <v>300</v>
      </c>
      <c r="L19" t="s">
        <v>1563</v>
      </c>
      <c r="M19" t="s">
        <v>1559</v>
      </c>
    </row>
    <row r="20" spans="1:13" x14ac:dyDescent="0.2">
      <c r="A20">
        <v>204</v>
      </c>
      <c r="B20">
        <v>2053</v>
      </c>
      <c r="C20" t="s">
        <v>1218</v>
      </c>
      <c r="D20" t="s">
        <v>5</v>
      </c>
      <c r="E20" t="s">
        <v>73</v>
      </c>
      <c r="F20" t="s">
        <v>73</v>
      </c>
      <c r="G20" t="s">
        <v>73</v>
      </c>
      <c r="H20" t="s">
        <v>1167</v>
      </c>
      <c r="K20">
        <v>301</v>
      </c>
      <c r="L20" t="s">
        <v>1564</v>
      </c>
      <c r="M20" t="s">
        <v>1561</v>
      </c>
    </row>
    <row r="21" spans="1:13" x14ac:dyDescent="0.2">
      <c r="A21">
        <v>205</v>
      </c>
      <c r="B21">
        <v>119</v>
      </c>
      <c r="C21" t="s">
        <v>1204</v>
      </c>
      <c r="D21" t="s">
        <v>5</v>
      </c>
      <c r="E21" t="s">
        <v>73</v>
      </c>
      <c r="F21" t="s">
        <v>1205</v>
      </c>
      <c r="G21" t="s">
        <v>5</v>
      </c>
      <c r="H21" t="s">
        <v>1199</v>
      </c>
      <c r="K21">
        <v>367</v>
      </c>
      <c r="L21" t="s">
        <v>1299</v>
      </c>
      <c r="M21" t="s">
        <v>1559</v>
      </c>
    </row>
    <row r="22" spans="1:13" x14ac:dyDescent="0.2">
      <c r="A22">
        <v>205</v>
      </c>
      <c r="B22">
        <v>375</v>
      </c>
      <c r="C22" t="s">
        <v>1219</v>
      </c>
      <c r="D22" t="s">
        <v>5</v>
      </c>
      <c r="E22" t="s">
        <v>73</v>
      </c>
      <c r="F22" t="s">
        <v>73</v>
      </c>
      <c r="G22" t="s">
        <v>73</v>
      </c>
      <c r="H22" t="s">
        <v>1199</v>
      </c>
      <c r="K22">
        <v>400</v>
      </c>
      <c r="L22" t="s">
        <v>11</v>
      </c>
      <c r="M22" t="s">
        <v>1558</v>
      </c>
    </row>
    <row r="23" spans="1:13" x14ac:dyDescent="0.2">
      <c r="A23">
        <v>205</v>
      </c>
      <c r="B23">
        <v>1106</v>
      </c>
      <c r="C23" t="s">
        <v>1220</v>
      </c>
      <c r="D23" t="s">
        <v>5</v>
      </c>
      <c r="E23" t="s">
        <v>104</v>
      </c>
      <c r="F23" t="s">
        <v>1221</v>
      </c>
      <c r="G23" t="s">
        <v>1222</v>
      </c>
      <c r="H23" t="s">
        <v>1199</v>
      </c>
      <c r="K23">
        <v>410</v>
      </c>
      <c r="L23" t="s">
        <v>1565</v>
      </c>
      <c r="M23" t="s">
        <v>1566</v>
      </c>
    </row>
    <row r="24" spans="1:13" x14ac:dyDescent="0.2">
      <c r="A24">
        <v>205</v>
      </c>
      <c r="B24">
        <v>1522</v>
      </c>
      <c r="C24" t="s">
        <v>1223</v>
      </c>
      <c r="D24" t="s">
        <v>5</v>
      </c>
      <c r="E24" t="s">
        <v>104</v>
      </c>
      <c r="F24" t="s">
        <v>73</v>
      </c>
      <c r="G24" t="s">
        <v>5</v>
      </c>
      <c r="H24" t="s">
        <v>73</v>
      </c>
      <c r="K24">
        <v>442</v>
      </c>
      <c r="L24" t="s">
        <v>1567</v>
      </c>
      <c r="M24" t="s">
        <v>1562</v>
      </c>
    </row>
    <row r="25" spans="1:13" x14ac:dyDescent="0.2">
      <c r="A25">
        <v>205</v>
      </c>
      <c r="B25">
        <v>1887</v>
      </c>
      <c r="C25" t="s">
        <v>1224</v>
      </c>
      <c r="D25" t="s">
        <v>5</v>
      </c>
      <c r="E25" t="s">
        <v>73</v>
      </c>
      <c r="F25" t="s">
        <v>73</v>
      </c>
      <c r="G25" t="s">
        <v>73</v>
      </c>
      <c r="H25" t="s">
        <v>1199</v>
      </c>
      <c r="K25">
        <v>446</v>
      </c>
      <c r="L25" t="s">
        <v>10</v>
      </c>
      <c r="M25" t="s">
        <v>1568</v>
      </c>
    </row>
    <row r="26" spans="1:13" x14ac:dyDescent="0.2">
      <c r="A26">
        <v>205</v>
      </c>
      <c r="B26">
        <v>2635</v>
      </c>
      <c r="C26" t="s">
        <v>1225</v>
      </c>
      <c r="D26" t="s">
        <v>5</v>
      </c>
      <c r="E26" t="s">
        <v>73</v>
      </c>
      <c r="F26" t="s">
        <v>1226</v>
      </c>
      <c r="G26" t="s">
        <v>1171</v>
      </c>
      <c r="H26" t="s">
        <v>1199</v>
      </c>
      <c r="K26">
        <v>455</v>
      </c>
      <c r="L26" t="s">
        <v>1093</v>
      </c>
      <c r="M26" t="s">
        <v>1558</v>
      </c>
    </row>
    <row r="27" spans="1:13" x14ac:dyDescent="0.2">
      <c r="A27">
        <v>215</v>
      </c>
      <c r="B27">
        <v>349</v>
      </c>
      <c r="C27" t="s">
        <v>1227</v>
      </c>
      <c r="D27" t="s">
        <v>5</v>
      </c>
      <c r="E27" t="s">
        <v>104</v>
      </c>
      <c r="F27" t="s">
        <v>1228</v>
      </c>
      <c r="G27" t="s">
        <v>5</v>
      </c>
      <c r="H27" t="s">
        <v>1199</v>
      </c>
      <c r="K27">
        <v>563</v>
      </c>
      <c r="L27" t="s">
        <v>1569</v>
      </c>
      <c r="M27" t="s">
        <v>1570</v>
      </c>
    </row>
    <row r="28" spans="1:13" x14ac:dyDescent="0.2">
      <c r="A28">
        <v>215</v>
      </c>
      <c r="B28">
        <v>854</v>
      </c>
      <c r="C28" t="s">
        <v>1229</v>
      </c>
      <c r="D28" t="s">
        <v>5</v>
      </c>
      <c r="E28" t="s">
        <v>92</v>
      </c>
      <c r="F28" t="s">
        <v>73</v>
      </c>
      <c r="G28" t="s">
        <v>73</v>
      </c>
      <c r="H28" t="s">
        <v>73</v>
      </c>
      <c r="K28">
        <v>571</v>
      </c>
      <c r="L28" t="s">
        <v>1571</v>
      </c>
      <c r="M28" t="s">
        <v>1557</v>
      </c>
    </row>
    <row r="29" spans="1:13" x14ac:dyDescent="0.2">
      <c r="A29">
        <v>215</v>
      </c>
      <c r="B29">
        <v>1835</v>
      </c>
      <c r="C29" t="s">
        <v>1230</v>
      </c>
      <c r="D29" t="s">
        <v>5</v>
      </c>
      <c r="E29" t="s">
        <v>92</v>
      </c>
      <c r="F29" t="s">
        <v>73</v>
      </c>
      <c r="G29" t="s">
        <v>73</v>
      </c>
      <c r="H29" t="s">
        <v>1167</v>
      </c>
      <c r="K29">
        <v>588</v>
      </c>
      <c r="L29" t="s">
        <v>1572</v>
      </c>
      <c r="M29" t="s">
        <v>1568</v>
      </c>
    </row>
    <row r="30" spans="1:13" x14ac:dyDescent="0.2">
      <c r="A30">
        <v>215</v>
      </c>
      <c r="B30">
        <v>2302</v>
      </c>
      <c r="C30" t="s">
        <v>1186</v>
      </c>
      <c r="D30" t="s">
        <v>5</v>
      </c>
      <c r="E30" t="s">
        <v>73</v>
      </c>
      <c r="F30" t="s">
        <v>73</v>
      </c>
      <c r="G30" t="s">
        <v>73</v>
      </c>
      <c r="H30" t="s">
        <v>1163</v>
      </c>
      <c r="K30">
        <v>805</v>
      </c>
      <c r="L30" t="s">
        <v>4</v>
      </c>
      <c r="M30" t="s">
        <v>1524</v>
      </c>
    </row>
    <row r="31" spans="1:13" x14ac:dyDescent="0.2">
      <c r="A31">
        <v>221</v>
      </c>
      <c r="B31">
        <v>122</v>
      </c>
      <c r="C31" t="s">
        <v>1204</v>
      </c>
      <c r="D31" t="s">
        <v>5</v>
      </c>
      <c r="E31" t="s">
        <v>73</v>
      </c>
      <c r="F31" t="s">
        <v>1205</v>
      </c>
      <c r="G31" t="s">
        <v>5</v>
      </c>
      <c r="H31" t="s">
        <v>1199</v>
      </c>
      <c r="K31">
        <v>806</v>
      </c>
      <c r="L31" t="s">
        <v>4</v>
      </c>
      <c r="M31" t="s">
        <v>1524</v>
      </c>
    </row>
    <row r="32" spans="1:13" x14ac:dyDescent="0.2">
      <c r="A32">
        <v>221</v>
      </c>
      <c r="B32">
        <v>808</v>
      </c>
      <c r="C32" t="s">
        <v>1231</v>
      </c>
      <c r="D32" t="s">
        <v>5</v>
      </c>
      <c r="E32" t="s">
        <v>104</v>
      </c>
      <c r="F32" t="s">
        <v>73</v>
      </c>
      <c r="G32" t="s">
        <v>5</v>
      </c>
      <c r="H32" t="s">
        <v>1232</v>
      </c>
      <c r="K32">
        <v>807</v>
      </c>
      <c r="L32" t="s">
        <v>4</v>
      </c>
      <c r="M32" t="s">
        <v>1524</v>
      </c>
    </row>
    <row r="33" spans="1:13" x14ac:dyDescent="0.2">
      <c r="A33">
        <v>224</v>
      </c>
      <c r="B33">
        <v>71</v>
      </c>
      <c r="C33" t="s">
        <v>1233</v>
      </c>
      <c r="D33" t="s">
        <v>5</v>
      </c>
      <c r="E33" t="s">
        <v>73</v>
      </c>
      <c r="F33" t="s">
        <v>73</v>
      </c>
      <c r="G33" t="s">
        <v>73</v>
      </c>
      <c r="H33" t="s">
        <v>73</v>
      </c>
      <c r="K33">
        <v>808</v>
      </c>
      <c r="L33" t="s">
        <v>4</v>
      </c>
      <c r="M33" t="s">
        <v>1524</v>
      </c>
    </row>
    <row r="34" spans="1:13" x14ac:dyDescent="0.2">
      <c r="A34">
        <v>224</v>
      </c>
      <c r="B34">
        <v>109</v>
      </c>
      <c r="C34" t="s">
        <v>1234</v>
      </c>
      <c r="D34" t="s">
        <v>5</v>
      </c>
      <c r="E34" t="s">
        <v>104</v>
      </c>
      <c r="F34" t="s">
        <v>1235</v>
      </c>
      <c r="G34" t="s">
        <v>5</v>
      </c>
      <c r="H34" t="s">
        <v>1199</v>
      </c>
      <c r="K34">
        <v>809</v>
      </c>
      <c r="L34" t="s">
        <v>4</v>
      </c>
      <c r="M34" t="s">
        <v>1524</v>
      </c>
    </row>
    <row r="35" spans="1:13" x14ac:dyDescent="0.2">
      <c r="A35">
        <v>234</v>
      </c>
      <c r="B35">
        <v>881</v>
      </c>
      <c r="C35" t="s">
        <v>1164</v>
      </c>
      <c r="D35" t="s">
        <v>3</v>
      </c>
      <c r="E35" t="s">
        <v>104</v>
      </c>
      <c r="F35" t="s">
        <v>1165</v>
      </c>
      <c r="G35" t="s">
        <v>3</v>
      </c>
      <c r="H35" t="s">
        <v>1163</v>
      </c>
      <c r="K35">
        <v>810</v>
      </c>
      <c r="L35" t="s">
        <v>4</v>
      </c>
      <c r="M35" t="s">
        <v>1524</v>
      </c>
    </row>
    <row r="36" spans="1:13" x14ac:dyDescent="0.2">
      <c r="A36">
        <v>234</v>
      </c>
      <c r="B36">
        <v>1718</v>
      </c>
      <c r="C36" t="s">
        <v>1166</v>
      </c>
      <c r="D36" t="s">
        <v>3</v>
      </c>
      <c r="E36" t="s">
        <v>73</v>
      </c>
      <c r="F36" t="s">
        <v>73</v>
      </c>
      <c r="G36" t="s">
        <v>73</v>
      </c>
      <c r="H36" t="s">
        <v>1167</v>
      </c>
      <c r="K36">
        <v>811</v>
      </c>
      <c r="L36" t="s">
        <v>4</v>
      </c>
      <c r="M36" t="s">
        <v>1524</v>
      </c>
    </row>
    <row r="37" spans="1:13" x14ac:dyDescent="0.2">
      <c r="A37">
        <v>234</v>
      </c>
      <c r="B37">
        <v>2563</v>
      </c>
      <c r="C37" t="s">
        <v>1168</v>
      </c>
      <c r="D37" t="s">
        <v>3</v>
      </c>
      <c r="E37" t="s">
        <v>92</v>
      </c>
      <c r="F37" t="s">
        <v>73</v>
      </c>
      <c r="G37" t="s">
        <v>73</v>
      </c>
      <c r="H37" t="s">
        <v>1163</v>
      </c>
      <c r="K37">
        <v>812</v>
      </c>
      <c r="L37" t="s">
        <v>4</v>
      </c>
      <c r="M37" t="s">
        <v>1524</v>
      </c>
    </row>
    <row r="38" spans="1:13" x14ac:dyDescent="0.2">
      <c r="A38">
        <v>236</v>
      </c>
      <c r="B38">
        <v>60</v>
      </c>
      <c r="C38" t="s">
        <v>1169</v>
      </c>
      <c r="D38" t="s">
        <v>3</v>
      </c>
      <c r="E38" t="s">
        <v>104</v>
      </c>
      <c r="F38" t="s">
        <v>1170</v>
      </c>
      <c r="G38" t="s">
        <v>1171</v>
      </c>
      <c r="H38" t="s">
        <v>1163</v>
      </c>
      <c r="K38">
        <v>813</v>
      </c>
      <c r="L38" t="s">
        <v>3</v>
      </c>
      <c r="M38" t="s">
        <v>1559</v>
      </c>
    </row>
    <row r="39" spans="1:13" x14ac:dyDescent="0.2">
      <c r="A39">
        <v>236</v>
      </c>
      <c r="B39">
        <v>752</v>
      </c>
      <c r="C39" t="s">
        <v>1172</v>
      </c>
      <c r="D39" t="s">
        <v>3</v>
      </c>
      <c r="E39" t="s">
        <v>104</v>
      </c>
      <c r="F39" t="s">
        <v>1173</v>
      </c>
      <c r="G39" t="s">
        <v>1174</v>
      </c>
      <c r="H39" t="s">
        <v>1163</v>
      </c>
      <c r="K39">
        <v>818</v>
      </c>
      <c r="L39" t="s">
        <v>4</v>
      </c>
      <c r="M39" t="s">
        <v>1562</v>
      </c>
    </row>
    <row r="40" spans="1:13" x14ac:dyDescent="0.2">
      <c r="A40">
        <v>236</v>
      </c>
      <c r="B40">
        <v>1993</v>
      </c>
      <c r="C40" t="s">
        <v>1175</v>
      </c>
      <c r="D40" t="s">
        <v>3</v>
      </c>
      <c r="E40" t="s">
        <v>104</v>
      </c>
      <c r="F40" t="s">
        <v>73</v>
      </c>
      <c r="G40" t="s">
        <v>1176</v>
      </c>
      <c r="H40" t="s">
        <v>1163</v>
      </c>
      <c r="K40">
        <v>819</v>
      </c>
      <c r="L40" t="s">
        <v>3</v>
      </c>
      <c r="M40" t="s">
        <v>1559</v>
      </c>
    </row>
    <row r="41" spans="1:13" x14ac:dyDescent="0.2">
      <c r="A41">
        <v>237</v>
      </c>
      <c r="B41">
        <v>88</v>
      </c>
      <c r="C41" t="s">
        <v>1177</v>
      </c>
      <c r="D41" t="s">
        <v>3</v>
      </c>
      <c r="E41" t="s">
        <v>73</v>
      </c>
      <c r="F41" t="s">
        <v>73</v>
      </c>
      <c r="G41" t="s">
        <v>73</v>
      </c>
      <c r="H41" t="s">
        <v>73</v>
      </c>
      <c r="K41">
        <v>841</v>
      </c>
      <c r="L41" t="s">
        <v>3</v>
      </c>
      <c r="M41" t="s">
        <v>1559</v>
      </c>
    </row>
    <row r="42" spans="1:13" x14ac:dyDescent="0.2">
      <c r="A42">
        <v>237</v>
      </c>
      <c r="B42">
        <v>307</v>
      </c>
      <c r="C42" t="s">
        <v>1178</v>
      </c>
      <c r="D42" t="s">
        <v>3</v>
      </c>
      <c r="E42" t="s">
        <v>104</v>
      </c>
      <c r="F42" t="s">
        <v>1179</v>
      </c>
      <c r="G42" t="s">
        <v>1174</v>
      </c>
      <c r="H42" t="s">
        <v>1163</v>
      </c>
      <c r="K42">
        <v>853</v>
      </c>
      <c r="L42" t="s">
        <v>3</v>
      </c>
      <c r="M42" t="s">
        <v>1559</v>
      </c>
    </row>
    <row r="43" spans="1:13" x14ac:dyDescent="0.2">
      <c r="A43">
        <v>237</v>
      </c>
      <c r="B43">
        <v>774</v>
      </c>
      <c r="C43" t="s">
        <v>1180</v>
      </c>
      <c r="D43" t="s">
        <v>3</v>
      </c>
      <c r="E43" t="s">
        <v>73</v>
      </c>
      <c r="F43" t="s">
        <v>73</v>
      </c>
      <c r="G43" t="s">
        <v>73</v>
      </c>
      <c r="H43" t="s">
        <v>73</v>
      </c>
      <c r="K43">
        <v>854</v>
      </c>
      <c r="L43" t="s">
        <v>1222</v>
      </c>
      <c r="M43" t="s">
        <v>1558</v>
      </c>
    </row>
    <row r="44" spans="1:13" x14ac:dyDescent="0.2">
      <c r="A44">
        <v>237</v>
      </c>
      <c r="B44">
        <v>957</v>
      </c>
      <c r="C44" t="s">
        <v>1181</v>
      </c>
      <c r="D44" t="s">
        <v>3</v>
      </c>
      <c r="E44" t="s">
        <v>104</v>
      </c>
      <c r="F44" t="s">
        <v>73</v>
      </c>
      <c r="G44" t="s">
        <v>1174</v>
      </c>
      <c r="H44" t="s">
        <v>1163</v>
      </c>
      <c r="K44">
        <v>893</v>
      </c>
      <c r="L44" t="s">
        <v>3</v>
      </c>
      <c r="M44" t="s">
        <v>1559</v>
      </c>
    </row>
    <row r="45" spans="1:13" x14ac:dyDescent="0.2">
      <c r="A45">
        <v>237</v>
      </c>
      <c r="B45">
        <v>1255</v>
      </c>
      <c r="C45" t="s">
        <v>1182</v>
      </c>
      <c r="D45" t="s">
        <v>3</v>
      </c>
      <c r="E45" t="s">
        <v>73</v>
      </c>
      <c r="F45" t="s">
        <v>73</v>
      </c>
      <c r="G45" t="s">
        <v>73</v>
      </c>
      <c r="H45" t="s">
        <v>1167</v>
      </c>
      <c r="K45">
        <v>895</v>
      </c>
      <c r="L45" t="s">
        <v>3</v>
      </c>
      <c r="M45" t="s">
        <v>1559</v>
      </c>
    </row>
    <row r="46" spans="1:13" x14ac:dyDescent="0.2">
      <c r="A46">
        <v>237</v>
      </c>
      <c r="B46">
        <v>1641</v>
      </c>
      <c r="C46" t="s">
        <v>1183</v>
      </c>
      <c r="D46" t="s">
        <v>3</v>
      </c>
      <c r="E46" t="s">
        <v>73</v>
      </c>
      <c r="F46" t="s">
        <v>73</v>
      </c>
      <c r="G46" t="s">
        <v>3</v>
      </c>
      <c r="H46" t="s">
        <v>1163</v>
      </c>
      <c r="K46">
        <v>896</v>
      </c>
      <c r="L46" t="s">
        <v>3</v>
      </c>
      <c r="M46" t="s">
        <v>1573</v>
      </c>
    </row>
    <row r="47" spans="1:13" x14ac:dyDescent="0.2">
      <c r="A47">
        <v>237</v>
      </c>
      <c r="B47">
        <v>2069</v>
      </c>
      <c r="C47" t="s">
        <v>1184</v>
      </c>
      <c r="D47" t="s">
        <v>3</v>
      </c>
      <c r="E47" t="s">
        <v>73</v>
      </c>
      <c r="F47" t="s">
        <v>73</v>
      </c>
      <c r="G47" t="s">
        <v>73</v>
      </c>
      <c r="H47" t="s">
        <v>1167</v>
      </c>
      <c r="K47">
        <v>901</v>
      </c>
      <c r="L47" t="s">
        <v>1434</v>
      </c>
      <c r="M47" t="s">
        <v>1559</v>
      </c>
    </row>
    <row r="48" spans="1:13" x14ac:dyDescent="0.2">
      <c r="A48">
        <v>237</v>
      </c>
      <c r="B48">
        <v>2264</v>
      </c>
      <c r="C48" t="s">
        <v>1185</v>
      </c>
      <c r="D48" t="s">
        <v>3</v>
      </c>
      <c r="E48" t="s">
        <v>73</v>
      </c>
      <c r="F48" t="s">
        <v>73</v>
      </c>
      <c r="G48" t="s">
        <v>73</v>
      </c>
      <c r="H48" t="s">
        <v>73</v>
      </c>
      <c r="K48">
        <v>951</v>
      </c>
      <c r="L48" t="s">
        <v>5</v>
      </c>
      <c r="M48" t="s">
        <v>1558</v>
      </c>
    </row>
    <row r="49" spans="1:8" x14ac:dyDescent="0.2">
      <c r="A49">
        <v>237</v>
      </c>
      <c r="B49">
        <v>2304</v>
      </c>
      <c r="C49" t="s">
        <v>1186</v>
      </c>
      <c r="D49" t="s">
        <v>3</v>
      </c>
      <c r="E49" t="s">
        <v>73</v>
      </c>
      <c r="F49" t="s">
        <v>73</v>
      </c>
      <c r="G49" t="s">
        <v>73</v>
      </c>
      <c r="H49" t="s">
        <v>1163</v>
      </c>
    </row>
    <row r="50" spans="1:8" x14ac:dyDescent="0.2">
      <c r="A50">
        <v>246</v>
      </c>
      <c r="B50">
        <v>74</v>
      </c>
      <c r="C50" t="s">
        <v>1236</v>
      </c>
      <c r="D50" t="s">
        <v>3</v>
      </c>
      <c r="E50" t="s">
        <v>92</v>
      </c>
      <c r="F50" t="s">
        <v>73</v>
      </c>
      <c r="G50" t="s">
        <v>3</v>
      </c>
      <c r="H50" t="s">
        <v>73</v>
      </c>
    </row>
    <row r="51" spans="1:8" x14ac:dyDescent="0.2">
      <c r="A51">
        <v>246</v>
      </c>
      <c r="B51">
        <v>138</v>
      </c>
      <c r="C51" t="s">
        <v>1237</v>
      </c>
      <c r="D51" t="s">
        <v>3</v>
      </c>
      <c r="E51" t="s">
        <v>104</v>
      </c>
      <c r="F51" t="s">
        <v>1238</v>
      </c>
      <c r="G51" t="s">
        <v>3</v>
      </c>
      <c r="H51" t="s">
        <v>1199</v>
      </c>
    </row>
    <row r="52" spans="1:8" x14ac:dyDescent="0.2">
      <c r="A52">
        <v>246</v>
      </c>
      <c r="B52">
        <v>257</v>
      </c>
      <c r="C52" t="s">
        <v>1239</v>
      </c>
      <c r="D52" t="s">
        <v>3</v>
      </c>
      <c r="E52" t="s">
        <v>92</v>
      </c>
      <c r="F52" t="s">
        <v>1240</v>
      </c>
      <c r="G52" t="s">
        <v>3</v>
      </c>
      <c r="H52" t="s">
        <v>1199</v>
      </c>
    </row>
    <row r="53" spans="1:8" x14ac:dyDescent="0.2">
      <c r="A53">
        <v>246</v>
      </c>
      <c r="B53">
        <v>1228</v>
      </c>
      <c r="C53" t="s">
        <v>1241</v>
      </c>
      <c r="D53" t="s">
        <v>3</v>
      </c>
      <c r="E53" t="s">
        <v>92</v>
      </c>
      <c r="F53" t="s">
        <v>73</v>
      </c>
      <c r="G53" t="s">
        <v>3</v>
      </c>
      <c r="H53" t="s">
        <v>1199</v>
      </c>
    </row>
    <row r="54" spans="1:8" x14ac:dyDescent="0.2">
      <c r="A54">
        <v>246</v>
      </c>
      <c r="B54">
        <v>1366</v>
      </c>
      <c r="C54" t="s">
        <v>1242</v>
      </c>
      <c r="D54" t="s">
        <v>3</v>
      </c>
      <c r="E54" t="s">
        <v>92</v>
      </c>
      <c r="F54" t="s">
        <v>73</v>
      </c>
      <c r="G54" t="s">
        <v>3</v>
      </c>
      <c r="H54" t="s">
        <v>1199</v>
      </c>
    </row>
    <row r="55" spans="1:8" x14ac:dyDescent="0.2">
      <c r="A55">
        <v>246</v>
      </c>
      <c r="B55">
        <v>1687</v>
      </c>
      <c r="C55" t="s">
        <v>1243</v>
      </c>
      <c r="D55" t="s">
        <v>3</v>
      </c>
      <c r="E55" t="s">
        <v>73</v>
      </c>
      <c r="F55" t="s">
        <v>73</v>
      </c>
      <c r="G55" t="s">
        <v>3</v>
      </c>
      <c r="H55" t="s">
        <v>1199</v>
      </c>
    </row>
    <row r="56" spans="1:8" x14ac:dyDescent="0.2">
      <c r="A56">
        <v>246</v>
      </c>
      <c r="B56">
        <v>2330</v>
      </c>
      <c r="C56" t="s">
        <v>1244</v>
      </c>
      <c r="D56" t="s">
        <v>3</v>
      </c>
      <c r="E56" t="s">
        <v>92</v>
      </c>
      <c r="F56" t="s">
        <v>1245</v>
      </c>
      <c r="G56" t="s">
        <v>1174</v>
      </c>
      <c r="H56" t="s">
        <v>1199</v>
      </c>
    </row>
    <row r="57" spans="1:8" x14ac:dyDescent="0.2">
      <c r="A57">
        <v>270</v>
      </c>
      <c r="B57">
        <v>214</v>
      </c>
      <c r="C57" t="s">
        <v>1246</v>
      </c>
      <c r="D57" t="s">
        <v>3</v>
      </c>
      <c r="E57" t="s">
        <v>104</v>
      </c>
      <c r="F57" t="s">
        <v>1247</v>
      </c>
      <c r="G57" t="s">
        <v>3</v>
      </c>
      <c r="H57" t="s">
        <v>1163</v>
      </c>
    </row>
    <row r="58" spans="1:8" x14ac:dyDescent="0.2">
      <c r="A58">
        <v>270</v>
      </c>
      <c r="B58">
        <v>395</v>
      </c>
      <c r="C58" t="s">
        <v>1248</v>
      </c>
      <c r="D58" t="s">
        <v>3</v>
      </c>
      <c r="E58" t="s">
        <v>92</v>
      </c>
      <c r="F58" t="s">
        <v>1249</v>
      </c>
      <c r="G58" t="s">
        <v>1250</v>
      </c>
      <c r="H58" t="s">
        <v>1196</v>
      </c>
    </row>
    <row r="59" spans="1:8" x14ac:dyDescent="0.2">
      <c r="A59">
        <v>270</v>
      </c>
      <c r="B59">
        <v>973</v>
      </c>
      <c r="C59" t="s">
        <v>1251</v>
      </c>
      <c r="D59" t="s">
        <v>3</v>
      </c>
      <c r="E59" t="s">
        <v>104</v>
      </c>
      <c r="F59" t="s">
        <v>1252</v>
      </c>
      <c r="G59" t="s">
        <v>3</v>
      </c>
      <c r="H59" t="s">
        <v>1199</v>
      </c>
    </row>
    <row r="60" spans="1:8" x14ac:dyDescent="0.2">
      <c r="A60">
        <v>270</v>
      </c>
      <c r="B60">
        <v>1197</v>
      </c>
      <c r="C60" t="s">
        <v>1253</v>
      </c>
      <c r="D60" t="s">
        <v>3</v>
      </c>
      <c r="E60" t="s">
        <v>92</v>
      </c>
      <c r="F60" t="s">
        <v>1254</v>
      </c>
      <c r="G60" t="s">
        <v>3</v>
      </c>
      <c r="H60" t="s">
        <v>1199</v>
      </c>
    </row>
    <row r="61" spans="1:8" x14ac:dyDescent="0.2">
      <c r="A61">
        <v>270</v>
      </c>
      <c r="B61">
        <v>1263</v>
      </c>
      <c r="C61" t="s">
        <v>1255</v>
      </c>
      <c r="D61" t="s">
        <v>3</v>
      </c>
      <c r="E61" t="s">
        <v>92</v>
      </c>
      <c r="F61" t="s">
        <v>1256</v>
      </c>
      <c r="G61" t="s">
        <v>3</v>
      </c>
      <c r="H61" t="s">
        <v>1199</v>
      </c>
    </row>
    <row r="62" spans="1:8" x14ac:dyDescent="0.2">
      <c r="A62">
        <v>270</v>
      </c>
      <c r="B62">
        <v>1337</v>
      </c>
      <c r="C62" t="s">
        <v>1257</v>
      </c>
      <c r="D62" t="s">
        <v>3</v>
      </c>
      <c r="E62" t="s">
        <v>92</v>
      </c>
      <c r="F62" t="s">
        <v>1258</v>
      </c>
      <c r="G62" t="s">
        <v>3</v>
      </c>
      <c r="H62" t="s">
        <v>1163</v>
      </c>
    </row>
    <row r="63" spans="1:8" x14ac:dyDescent="0.2">
      <c r="A63">
        <v>270</v>
      </c>
      <c r="B63">
        <v>1338</v>
      </c>
      <c r="C63" t="s">
        <v>1259</v>
      </c>
      <c r="D63" t="s">
        <v>3</v>
      </c>
      <c r="E63" t="s">
        <v>104</v>
      </c>
      <c r="F63" t="s">
        <v>1258</v>
      </c>
      <c r="G63" t="s">
        <v>3</v>
      </c>
      <c r="H63" t="s">
        <v>1163</v>
      </c>
    </row>
    <row r="64" spans="1:8" x14ac:dyDescent="0.2">
      <c r="A64">
        <v>271</v>
      </c>
      <c r="B64">
        <v>82</v>
      </c>
      <c r="C64" t="s">
        <v>1260</v>
      </c>
      <c r="D64" t="s">
        <v>3</v>
      </c>
      <c r="E64" t="s">
        <v>92</v>
      </c>
      <c r="F64" t="s">
        <v>1261</v>
      </c>
      <c r="G64" t="s">
        <v>3</v>
      </c>
      <c r="H64" t="s">
        <v>1163</v>
      </c>
    </row>
    <row r="65" spans="1:8" x14ac:dyDescent="0.2">
      <c r="A65">
        <v>271</v>
      </c>
      <c r="B65">
        <v>215</v>
      </c>
      <c r="C65" t="s">
        <v>1246</v>
      </c>
      <c r="D65" t="s">
        <v>3</v>
      </c>
      <c r="E65" t="s">
        <v>104</v>
      </c>
      <c r="F65" t="s">
        <v>1247</v>
      </c>
      <c r="G65" t="s">
        <v>3</v>
      </c>
      <c r="H65" t="s">
        <v>1163</v>
      </c>
    </row>
    <row r="66" spans="1:8" x14ac:dyDescent="0.2">
      <c r="A66">
        <v>271</v>
      </c>
      <c r="B66">
        <v>721</v>
      </c>
      <c r="C66" t="s">
        <v>1262</v>
      </c>
      <c r="D66" t="s">
        <v>3</v>
      </c>
      <c r="E66" t="s">
        <v>92</v>
      </c>
      <c r="F66" t="s">
        <v>1263</v>
      </c>
      <c r="G66" t="s">
        <v>3</v>
      </c>
      <c r="H66" t="s">
        <v>1163</v>
      </c>
    </row>
    <row r="67" spans="1:8" x14ac:dyDescent="0.2">
      <c r="A67">
        <v>271</v>
      </c>
      <c r="B67">
        <v>1270</v>
      </c>
      <c r="C67" t="s">
        <v>1264</v>
      </c>
      <c r="D67" t="s">
        <v>3</v>
      </c>
      <c r="E67" t="s">
        <v>92</v>
      </c>
      <c r="F67" t="s">
        <v>1265</v>
      </c>
      <c r="G67" t="s">
        <v>3</v>
      </c>
      <c r="H67" t="s">
        <v>1199</v>
      </c>
    </row>
    <row r="68" spans="1:8" x14ac:dyDescent="0.2">
      <c r="A68">
        <v>271</v>
      </c>
      <c r="B68">
        <v>1525</v>
      </c>
      <c r="C68" t="s">
        <v>1266</v>
      </c>
      <c r="D68" t="s">
        <v>3</v>
      </c>
      <c r="E68" t="s">
        <v>104</v>
      </c>
      <c r="F68" t="s">
        <v>73</v>
      </c>
      <c r="G68" t="s">
        <v>3</v>
      </c>
      <c r="H68" t="s">
        <v>1163</v>
      </c>
    </row>
    <row r="69" spans="1:8" x14ac:dyDescent="0.2">
      <c r="A69">
        <v>271</v>
      </c>
      <c r="B69">
        <v>1830</v>
      </c>
      <c r="C69" t="s">
        <v>1267</v>
      </c>
      <c r="D69" t="s">
        <v>3</v>
      </c>
      <c r="E69" t="s">
        <v>92</v>
      </c>
      <c r="F69" t="s">
        <v>1263</v>
      </c>
      <c r="G69" t="s">
        <v>3</v>
      </c>
      <c r="H69" t="s">
        <v>1163</v>
      </c>
    </row>
    <row r="70" spans="1:8" x14ac:dyDescent="0.2">
      <c r="A70">
        <v>271</v>
      </c>
      <c r="B70">
        <v>2110</v>
      </c>
      <c r="C70" t="s">
        <v>1268</v>
      </c>
      <c r="D70" t="s">
        <v>3</v>
      </c>
      <c r="E70" t="s">
        <v>104</v>
      </c>
      <c r="F70" t="s">
        <v>73</v>
      </c>
      <c r="G70" t="s">
        <v>3</v>
      </c>
      <c r="H70" t="s">
        <v>1163</v>
      </c>
    </row>
    <row r="71" spans="1:8" x14ac:dyDescent="0.2">
      <c r="A71">
        <v>272</v>
      </c>
      <c r="B71">
        <v>133</v>
      </c>
      <c r="C71" t="s">
        <v>1269</v>
      </c>
      <c r="D71" t="s">
        <v>3</v>
      </c>
      <c r="E71" t="s">
        <v>104</v>
      </c>
      <c r="F71" t="s">
        <v>73</v>
      </c>
      <c r="G71" t="s">
        <v>3</v>
      </c>
      <c r="H71" t="s">
        <v>1199</v>
      </c>
    </row>
    <row r="72" spans="1:8" x14ac:dyDescent="0.2">
      <c r="A72">
        <v>272</v>
      </c>
      <c r="B72">
        <v>216</v>
      </c>
      <c r="C72" t="s">
        <v>1246</v>
      </c>
      <c r="D72" t="s">
        <v>3</v>
      </c>
      <c r="E72" t="s">
        <v>104</v>
      </c>
      <c r="F72" t="s">
        <v>1247</v>
      </c>
      <c r="G72" t="s">
        <v>3</v>
      </c>
      <c r="H72" t="s">
        <v>1163</v>
      </c>
    </row>
    <row r="73" spans="1:8" x14ac:dyDescent="0.2">
      <c r="A73">
        <v>272</v>
      </c>
      <c r="B73">
        <v>354</v>
      </c>
      <c r="C73" t="s">
        <v>1270</v>
      </c>
      <c r="D73" t="s">
        <v>3</v>
      </c>
      <c r="E73" t="s">
        <v>73</v>
      </c>
      <c r="F73" t="s">
        <v>73</v>
      </c>
      <c r="G73" t="s">
        <v>3</v>
      </c>
      <c r="H73" t="s">
        <v>1196</v>
      </c>
    </row>
    <row r="74" spans="1:8" x14ac:dyDescent="0.2">
      <c r="A74">
        <v>272</v>
      </c>
      <c r="B74">
        <v>820</v>
      </c>
      <c r="C74" t="s">
        <v>1271</v>
      </c>
      <c r="D74" t="s">
        <v>3</v>
      </c>
      <c r="E74" t="s">
        <v>92</v>
      </c>
      <c r="F74" t="s">
        <v>73</v>
      </c>
      <c r="G74" t="s">
        <v>3</v>
      </c>
      <c r="H74" t="s">
        <v>1199</v>
      </c>
    </row>
    <row r="75" spans="1:8" x14ac:dyDescent="0.2">
      <c r="A75">
        <v>272</v>
      </c>
      <c r="B75">
        <v>1142</v>
      </c>
      <c r="C75" t="s">
        <v>1272</v>
      </c>
      <c r="D75" t="s">
        <v>3</v>
      </c>
      <c r="E75" t="s">
        <v>92</v>
      </c>
      <c r="F75" t="s">
        <v>73</v>
      </c>
      <c r="G75" t="s">
        <v>3</v>
      </c>
      <c r="H75" t="s">
        <v>1163</v>
      </c>
    </row>
    <row r="76" spans="1:8" x14ac:dyDescent="0.2">
      <c r="A76">
        <v>272</v>
      </c>
      <c r="B76">
        <v>1295</v>
      </c>
      <c r="C76" t="s">
        <v>1273</v>
      </c>
      <c r="D76" t="s">
        <v>3</v>
      </c>
      <c r="E76" t="s">
        <v>92</v>
      </c>
      <c r="F76" t="s">
        <v>73</v>
      </c>
      <c r="G76" t="s">
        <v>3</v>
      </c>
      <c r="H76" t="s">
        <v>1163</v>
      </c>
    </row>
    <row r="77" spans="1:8" x14ac:dyDescent="0.2">
      <c r="A77">
        <v>272</v>
      </c>
      <c r="B77">
        <v>1307</v>
      </c>
      <c r="C77" t="s">
        <v>1274</v>
      </c>
      <c r="D77" t="s">
        <v>3</v>
      </c>
      <c r="E77" t="s">
        <v>92</v>
      </c>
      <c r="F77" t="s">
        <v>73</v>
      </c>
      <c r="G77" t="s">
        <v>3</v>
      </c>
      <c r="H77" t="s">
        <v>1199</v>
      </c>
    </row>
    <row r="78" spans="1:8" x14ac:dyDescent="0.2">
      <c r="A78">
        <v>293</v>
      </c>
      <c r="B78">
        <v>123</v>
      </c>
      <c r="C78" t="s">
        <v>1204</v>
      </c>
      <c r="D78" t="s">
        <v>5</v>
      </c>
      <c r="E78" t="s">
        <v>104</v>
      </c>
      <c r="F78" t="s">
        <v>1205</v>
      </c>
      <c r="G78" t="s">
        <v>5</v>
      </c>
      <c r="H78" t="s">
        <v>1199</v>
      </c>
    </row>
    <row r="79" spans="1:8" x14ac:dyDescent="0.2">
      <c r="A79">
        <v>293</v>
      </c>
      <c r="B79">
        <v>272</v>
      </c>
      <c r="C79" t="s">
        <v>1275</v>
      </c>
      <c r="D79" t="s">
        <v>5</v>
      </c>
      <c r="E79" t="s">
        <v>73</v>
      </c>
      <c r="F79" t="s">
        <v>73</v>
      </c>
      <c r="G79" t="s">
        <v>73</v>
      </c>
      <c r="H79" t="s">
        <v>1276</v>
      </c>
    </row>
    <row r="80" spans="1:8" x14ac:dyDescent="0.2">
      <c r="A80">
        <v>293</v>
      </c>
      <c r="B80">
        <v>609</v>
      </c>
      <c r="C80" t="s">
        <v>1277</v>
      </c>
      <c r="D80" t="s">
        <v>5</v>
      </c>
      <c r="E80" t="s">
        <v>73</v>
      </c>
      <c r="F80" t="s">
        <v>73</v>
      </c>
      <c r="G80" t="s">
        <v>73</v>
      </c>
      <c r="H80" t="s">
        <v>73</v>
      </c>
    </row>
    <row r="81" spans="1:8" x14ac:dyDescent="0.2">
      <c r="A81">
        <v>293</v>
      </c>
      <c r="B81">
        <v>865</v>
      </c>
      <c r="C81" t="s">
        <v>1278</v>
      </c>
      <c r="D81" t="s">
        <v>5</v>
      </c>
      <c r="E81" t="s">
        <v>73</v>
      </c>
      <c r="F81" t="s">
        <v>73</v>
      </c>
      <c r="G81" t="s">
        <v>73</v>
      </c>
      <c r="H81" t="s">
        <v>73</v>
      </c>
    </row>
    <row r="82" spans="1:8" x14ac:dyDescent="0.2">
      <c r="A82">
        <v>293</v>
      </c>
      <c r="B82">
        <v>1916</v>
      </c>
      <c r="C82" t="s">
        <v>1279</v>
      </c>
      <c r="D82" t="s">
        <v>5</v>
      </c>
      <c r="E82" t="s">
        <v>73</v>
      </c>
      <c r="F82" t="s">
        <v>73</v>
      </c>
      <c r="G82" t="s">
        <v>73</v>
      </c>
      <c r="H82" t="s">
        <v>1232</v>
      </c>
    </row>
    <row r="83" spans="1:8" x14ac:dyDescent="0.2">
      <c r="A83">
        <v>293</v>
      </c>
      <c r="B83">
        <v>1918</v>
      </c>
      <c r="C83" t="s">
        <v>1280</v>
      </c>
      <c r="D83" t="s">
        <v>5</v>
      </c>
      <c r="E83" t="s">
        <v>73</v>
      </c>
      <c r="F83" t="s">
        <v>73</v>
      </c>
      <c r="G83" t="s">
        <v>73</v>
      </c>
      <c r="H83" t="s">
        <v>1232</v>
      </c>
    </row>
    <row r="84" spans="1:8" x14ac:dyDescent="0.2">
      <c r="A84">
        <v>293</v>
      </c>
      <c r="B84">
        <v>1995</v>
      </c>
      <c r="C84" t="s">
        <v>1281</v>
      </c>
      <c r="D84" t="s">
        <v>5</v>
      </c>
      <c r="E84" t="s">
        <v>73</v>
      </c>
      <c r="F84" t="s">
        <v>73</v>
      </c>
      <c r="G84" t="s">
        <v>73</v>
      </c>
      <c r="H84" t="s">
        <v>73</v>
      </c>
    </row>
    <row r="85" spans="1:8" x14ac:dyDescent="0.2">
      <c r="A85">
        <v>293</v>
      </c>
      <c r="B85">
        <v>2108</v>
      </c>
      <c r="C85" t="s">
        <v>1282</v>
      </c>
      <c r="D85" t="s">
        <v>5</v>
      </c>
      <c r="E85" t="s">
        <v>73</v>
      </c>
      <c r="F85" t="s">
        <v>73</v>
      </c>
      <c r="G85" t="s">
        <v>73</v>
      </c>
      <c r="H85" t="s">
        <v>73</v>
      </c>
    </row>
    <row r="86" spans="1:8" x14ac:dyDescent="0.2">
      <c r="A86">
        <v>299</v>
      </c>
      <c r="B86">
        <v>309</v>
      </c>
      <c r="C86" t="s">
        <v>1178</v>
      </c>
      <c r="D86" t="s">
        <v>3</v>
      </c>
      <c r="E86" t="s">
        <v>104</v>
      </c>
      <c r="F86" t="s">
        <v>1179</v>
      </c>
      <c r="G86" t="s">
        <v>1174</v>
      </c>
      <c r="H86" t="s">
        <v>1163</v>
      </c>
    </row>
    <row r="87" spans="1:8" x14ac:dyDescent="0.2">
      <c r="A87">
        <v>299</v>
      </c>
      <c r="B87">
        <v>342</v>
      </c>
      <c r="C87" t="s">
        <v>1283</v>
      </c>
      <c r="D87" t="s">
        <v>3</v>
      </c>
      <c r="E87" t="s">
        <v>73</v>
      </c>
      <c r="F87" t="s">
        <v>73</v>
      </c>
      <c r="G87" t="s">
        <v>73</v>
      </c>
      <c r="H87" t="s">
        <v>1167</v>
      </c>
    </row>
    <row r="88" spans="1:8" x14ac:dyDescent="0.2">
      <c r="A88">
        <v>299</v>
      </c>
      <c r="B88">
        <v>959</v>
      </c>
      <c r="C88" t="s">
        <v>1181</v>
      </c>
      <c r="D88" t="s">
        <v>3</v>
      </c>
      <c r="E88" t="s">
        <v>104</v>
      </c>
      <c r="F88" t="s">
        <v>73</v>
      </c>
      <c r="G88" t="s">
        <v>1174</v>
      </c>
      <c r="H88" t="s">
        <v>1163</v>
      </c>
    </row>
    <row r="89" spans="1:8" x14ac:dyDescent="0.2">
      <c r="A89">
        <v>299</v>
      </c>
      <c r="B89">
        <v>1190</v>
      </c>
      <c r="C89" t="s">
        <v>1284</v>
      </c>
      <c r="D89" t="s">
        <v>3</v>
      </c>
      <c r="E89" t="s">
        <v>73</v>
      </c>
      <c r="F89" t="s">
        <v>73</v>
      </c>
      <c r="G89" t="s">
        <v>73</v>
      </c>
      <c r="H89" t="s">
        <v>73</v>
      </c>
    </row>
    <row r="90" spans="1:8" x14ac:dyDescent="0.2">
      <c r="A90">
        <v>299</v>
      </c>
      <c r="B90">
        <v>1538</v>
      </c>
      <c r="C90" t="s">
        <v>1285</v>
      </c>
      <c r="D90" t="s">
        <v>3</v>
      </c>
      <c r="E90" t="s">
        <v>104</v>
      </c>
      <c r="F90" t="s">
        <v>73</v>
      </c>
      <c r="G90" t="s">
        <v>3</v>
      </c>
      <c r="H90" t="s">
        <v>1199</v>
      </c>
    </row>
    <row r="91" spans="1:8" x14ac:dyDescent="0.2">
      <c r="A91">
        <v>299</v>
      </c>
      <c r="B91">
        <v>2010</v>
      </c>
      <c r="C91" t="s">
        <v>1286</v>
      </c>
      <c r="D91" t="s">
        <v>3</v>
      </c>
      <c r="E91" t="s">
        <v>73</v>
      </c>
      <c r="F91" t="s">
        <v>73</v>
      </c>
      <c r="G91" t="s">
        <v>73</v>
      </c>
      <c r="H91" t="s">
        <v>1199</v>
      </c>
    </row>
    <row r="92" spans="1:8" x14ac:dyDescent="0.2">
      <c r="A92">
        <v>299</v>
      </c>
      <c r="B92">
        <v>2051</v>
      </c>
      <c r="C92" t="s">
        <v>1287</v>
      </c>
      <c r="D92" t="s">
        <v>3</v>
      </c>
      <c r="E92" t="s">
        <v>73</v>
      </c>
      <c r="F92" t="s">
        <v>73</v>
      </c>
      <c r="G92" t="s">
        <v>73</v>
      </c>
      <c r="H92" t="s">
        <v>1199</v>
      </c>
    </row>
    <row r="93" spans="1:8" x14ac:dyDescent="0.2">
      <c r="A93">
        <v>299</v>
      </c>
      <c r="B93">
        <v>2266</v>
      </c>
      <c r="C93" t="s">
        <v>1185</v>
      </c>
      <c r="D93" t="s">
        <v>3</v>
      </c>
      <c r="E93" t="s">
        <v>73</v>
      </c>
      <c r="F93" t="s">
        <v>73</v>
      </c>
      <c r="G93" t="s">
        <v>73</v>
      </c>
      <c r="H93" t="s">
        <v>73</v>
      </c>
    </row>
    <row r="94" spans="1:8" x14ac:dyDescent="0.2">
      <c r="A94">
        <v>299</v>
      </c>
      <c r="B94">
        <v>2306</v>
      </c>
      <c r="C94" t="s">
        <v>1186</v>
      </c>
      <c r="D94" t="s">
        <v>3</v>
      </c>
      <c r="E94" t="s">
        <v>73</v>
      </c>
      <c r="F94" t="s">
        <v>73</v>
      </c>
      <c r="G94" t="s">
        <v>73</v>
      </c>
      <c r="H94" t="s">
        <v>1163</v>
      </c>
    </row>
    <row r="95" spans="1:8" x14ac:dyDescent="0.2">
      <c r="A95">
        <v>299</v>
      </c>
      <c r="B95">
        <v>2492</v>
      </c>
      <c r="C95" t="s">
        <v>1288</v>
      </c>
      <c r="D95" t="s">
        <v>3</v>
      </c>
      <c r="E95" t="s">
        <v>73</v>
      </c>
      <c r="F95" t="s">
        <v>73</v>
      </c>
      <c r="G95" t="s">
        <v>73</v>
      </c>
      <c r="H95" t="s">
        <v>1196</v>
      </c>
    </row>
    <row r="96" spans="1:8" x14ac:dyDescent="0.2">
      <c r="A96">
        <v>300</v>
      </c>
      <c r="B96">
        <v>310</v>
      </c>
      <c r="C96" t="s">
        <v>1178</v>
      </c>
      <c r="D96" t="s">
        <v>3</v>
      </c>
      <c r="E96" t="s">
        <v>104</v>
      </c>
      <c r="F96" t="s">
        <v>1179</v>
      </c>
      <c r="G96" t="s">
        <v>1174</v>
      </c>
      <c r="H96" t="s">
        <v>1163</v>
      </c>
    </row>
    <row r="97" spans="1:8" x14ac:dyDescent="0.2">
      <c r="A97">
        <v>300</v>
      </c>
      <c r="B97">
        <v>343</v>
      </c>
      <c r="C97" t="s">
        <v>1283</v>
      </c>
      <c r="D97" t="s">
        <v>3</v>
      </c>
      <c r="E97" t="s">
        <v>73</v>
      </c>
      <c r="F97" t="s">
        <v>73</v>
      </c>
      <c r="G97" t="s">
        <v>73</v>
      </c>
      <c r="H97" t="s">
        <v>1167</v>
      </c>
    </row>
    <row r="98" spans="1:8" x14ac:dyDescent="0.2">
      <c r="A98">
        <v>300</v>
      </c>
      <c r="B98">
        <v>960</v>
      </c>
      <c r="C98" t="s">
        <v>1181</v>
      </c>
      <c r="D98" t="s">
        <v>3</v>
      </c>
      <c r="E98" t="s">
        <v>104</v>
      </c>
      <c r="F98" t="s">
        <v>73</v>
      </c>
      <c r="G98" t="s">
        <v>1174</v>
      </c>
      <c r="H98" t="s">
        <v>1163</v>
      </c>
    </row>
    <row r="99" spans="1:8" x14ac:dyDescent="0.2">
      <c r="A99">
        <v>300</v>
      </c>
      <c r="B99">
        <v>1162</v>
      </c>
      <c r="C99" t="s">
        <v>1289</v>
      </c>
      <c r="D99" t="s">
        <v>3</v>
      </c>
      <c r="E99" t="s">
        <v>104</v>
      </c>
      <c r="F99" t="s">
        <v>73</v>
      </c>
      <c r="G99" t="s">
        <v>3</v>
      </c>
      <c r="H99" t="s">
        <v>1163</v>
      </c>
    </row>
    <row r="100" spans="1:8" x14ac:dyDescent="0.2">
      <c r="A100">
        <v>300</v>
      </c>
      <c r="B100">
        <v>2011</v>
      </c>
      <c r="C100" t="s">
        <v>1286</v>
      </c>
      <c r="D100" t="s">
        <v>3</v>
      </c>
      <c r="E100" t="s">
        <v>73</v>
      </c>
      <c r="F100" t="s">
        <v>73</v>
      </c>
      <c r="G100" t="s">
        <v>73</v>
      </c>
      <c r="H100" t="s">
        <v>1199</v>
      </c>
    </row>
    <row r="101" spans="1:8" x14ac:dyDescent="0.2">
      <c r="A101">
        <v>300</v>
      </c>
      <c r="B101">
        <v>2052</v>
      </c>
      <c r="C101" t="s">
        <v>1287</v>
      </c>
      <c r="D101" t="s">
        <v>3</v>
      </c>
      <c r="E101" t="s">
        <v>73</v>
      </c>
      <c r="F101" t="s">
        <v>73</v>
      </c>
      <c r="G101" t="s">
        <v>73</v>
      </c>
      <c r="H101" t="s">
        <v>73</v>
      </c>
    </row>
    <row r="102" spans="1:8" x14ac:dyDescent="0.2">
      <c r="A102">
        <v>300</v>
      </c>
      <c r="B102">
        <v>2267</v>
      </c>
      <c r="C102" t="s">
        <v>1185</v>
      </c>
      <c r="D102" t="s">
        <v>3</v>
      </c>
      <c r="E102" t="s">
        <v>73</v>
      </c>
      <c r="F102" t="s">
        <v>73</v>
      </c>
      <c r="G102" t="s">
        <v>73</v>
      </c>
      <c r="H102" t="s">
        <v>73</v>
      </c>
    </row>
    <row r="103" spans="1:8" x14ac:dyDescent="0.2">
      <c r="A103">
        <v>300</v>
      </c>
      <c r="B103">
        <v>2307</v>
      </c>
      <c r="C103" t="s">
        <v>1186</v>
      </c>
      <c r="D103" t="s">
        <v>3</v>
      </c>
      <c r="E103" t="s">
        <v>73</v>
      </c>
      <c r="F103" t="s">
        <v>73</v>
      </c>
      <c r="G103" t="s">
        <v>73</v>
      </c>
      <c r="H103" t="s">
        <v>1163</v>
      </c>
    </row>
    <row r="104" spans="1:8" x14ac:dyDescent="0.2">
      <c r="A104">
        <v>300</v>
      </c>
      <c r="B104">
        <v>2493</v>
      </c>
      <c r="C104" t="s">
        <v>1288</v>
      </c>
      <c r="D104" t="s">
        <v>3</v>
      </c>
      <c r="E104" t="s">
        <v>73</v>
      </c>
      <c r="F104" t="s">
        <v>73</v>
      </c>
      <c r="G104" t="s">
        <v>73</v>
      </c>
      <c r="H104" t="s">
        <v>73</v>
      </c>
    </row>
    <row r="105" spans="1:8" x14ac:dyDescent="0.2">
      <c r="A105">
        <v>301</v>
      </c>
      <c r="B105">
        <v>726</v>
      </c>
      <c r="C105" t="s">
        <v>1200</v>
      </c>
      <c r="D105" t="s">
        <v>1437</v>
      </c>
      <c r="E105" t="s">
        <v>73</v>
      </c>
      <c r="F105" t="s">
        <v>73</v>
      </c>
      <c r="G105" t="s">
        <v>73</v>
      </c>
      <c r="H105" t="s">
        <v>1163</v>
      </c>
    </row>
    <row r="106" spans="1:8" x14ac:dyDescent="0.2">
      <c r="A106">
        <v>301</v>
      </c>
      <c r="B106">
        <v>748</v>
      </c>
      <c r="C106" t="s">
        <v>1290</v>
      </c>
      <c r="D106" t="s">
        <v>1437</v>
      </c>
      <c r="E106" t="s">
        <v>104</v>
      </c>
      <c r="F106" t="s">
        <v>1291</v>
      </c>
      <c r="G106" t="s">
        <v>1292</v>
      </c>
      <c r="H106" t="s">
        <v>1163</v>
      </c>
    </row>
    <row r="107" spans="1:8" x14ac:dyDescent="0.2">
      <c r="A107">
        <v>301</v>
      </c>
      <c r="B107">
        <v>805</v>
      </c>
      <c r="C107" t="s">
        <v>1293</v>
      </c>
      <c r="D107" t="s">
        <v>1437</v>
      </c>
      <c r="E107" t="s">
        <v>73</v>
      </c>
      <c r="F107" t="s">
        <v>73</v>
      </c>
      <c r="G107" t="s">
        <v>73</v>
      </c>
      <c r="H107" t="s">
        <v>1163</v>
      </c>
    </row>
    <row r="108" spans="1:8" x14ac:dyDescent="0.2">
      <c r="A108">
        <v>301</v>
      </c>
      <c r="B108">
        <v>2599</v>
      </c>
      <c r="C108" t="s">
        <v>1294</v>
      </c>
      <c r="D108" t="s">
        <v>1437</v>
      </c>
      <c r="E108" t="s">
        <v>104</v>
      </c>
      <c r="F108" t="s">
        <v>1295</v>
      </c>
      <c r="G108" t="s">
        <v>1174</v>
      </c>
      <c r="H108" t="s">
        <v>1199</v>
      </c>
    </row>
    <row r="109" spans="1:8" x14ac:dyDescent="0.2">
      <c r="A109">
        <v>367</v>
      </c>
      <c r="B109">
        <v>2</v>
      </c>
      <c r="C109" t="s">
        <v>1296</v>
      </c>
      <c r="D109" t="s">
        <v>13</v>
      </c>
      <c r="E109" t="s">
        <v>92</v>
      </c>
      <c r="F109" t="s">
        <v>73</v>
      </c>
      <c r="G109" t="s">
        <v>73</v>
      </c>
      <c r="H109" t="s">
        <v>1163</v>
      </c>
    </row>
    <row r="110" spans="1:8" x14ac:dyDescent="0.2">
      <c r="A110">
        <v>367</v>
      </c>
      <c r="B110">
        <v>204</v>
      </c>
      <c r="C110" t="s">
        <v>1297</v>
      </c>
      <c r="D110" t="s">
        <v>13</v>
      </c>
      <c r="E110" t="s">
        <v>104</v>
      </c>
      <c r="F110" t="s">
        <v>1298</v>
      </c>
      <c r="G110" t="s">
        <v>1299</v>
      </c>
      <c r="H110" t="s">
        <v>1163</v>
      </c>
    </row>
    <row r="111" spans="1:8" x14ac:dyDescent="0.2">
      <c r="A111">
        <v>367</v>
      </c>
      <c r="B111">
        <v>538</v>
      </c>
      <c r="C111" t="s">
        <v>1300</v>
      </c>
      <c r="D111" t="s">
        <v>13</v>
      </c>
      <c r="E111" t="s">
        <v>92</v>
      </c>
      <c r="F111" t="s">
        <v>73</v>
      </c>
      <c r="G111" t="s">
        <v>73</v>
      </c>
      <c r="H111" t="s">
        <v>73</v>
      </c>
    </row>
    <row r="112" spans="1:8" x14ac:dyDescent="0.2">
      <c r="A112">
        <v>367</v>
      </c>
      <c r="B112">
        <v>728</v>
      </c>
      <c r="C112" t="s">
        <v>1200</v>
      </c>
      <c r="D112" t="s">
        <v>13</v>
      </c>
      <c r="E112" t="s">
        <v>92</v>
      </c>
      <c r="F112" t="s">
        <v>73</v>
      </c>
      <c r="G112" t="s">
        <v>73</v>
      </c>
      <c r="H112" t="s">
        <v>1163</v>
      </c>
    </row>
    <row r="113" spans="1:8" x14ac:dyDescent="0.2">
      <c r="A113">
        <v>367</v>
      </c>
      <c r="B113">
        <v>783</v>
      </c>
      <c r="C113" t="s">
        <v>1301</v>
      </c>
      <c r="D113" t="s">
        <v>13</v>
      </c>
      <c r="E113" t="s">
        <v>92</v>
      </c>
      <c r="F113" t="s">
        <v>73</v>
      </c>
      <c r="G113" t="s">
        <v>73</v>
      </c>
      <c r="H113" t="s">
        <v>73</v>
      </c>
    </row>
    <row r="114" spans="1:8" x14ac:dyDescent="0.2">
      <c r="A114">
        <v>367</v>
      </c>
      <c r="B114">
        <v>1662</v>
      </c>
      <c r="C114" t="s">
        <v>1302</v>
      </c>
      <c r="D114" t="s">
        <v>13</v>
      </c>
      <c r="E114" t="s">
        <v>92</v>
      </c>
      <c r="F114" t="s">
        <v>73</v>
      </c>
      <c r="G114" t="s">
        <v>73</v>
      </c>
      <c r="H114" t="s">
        <v>1199</v>
      </c>
    </row>
    <row r="115" spans="1:8" x14ac:dyDescent="0.2">
      <c r="A115">
        <v>367</v>
      </c>
      <c r="B115">
        <v>2698</v>
      </c>
      <c r="C115" t="s">
        <v>1303</v>
      </c>
      <c r="D115" t="s">
        <v>13</v>
      </c>
      <c r="E115" t="s">
        <v>92</v>
      </c>
      <c r="F115" t="s">
        <v>73</v>
      </c>
      <c r="G115" t="s">
        <v>73</v>
      </c>
      <c r="H115" t="s">
        <v>1167</v>
      </c>
    </row>
    <row r="116" spans="1:8" x14ac:dyDescent="0.2">
      <c r="A116">
        <v>400</v>
      </c>
      <c r="B116">
        <v>276</v>
      </c>
      <c r="C116" t="s">
        <v>1304</v>
      </c>
      <c r="D116" t="s">
        <v>11</v>
      </c>
      <c r="E116" t="s">
        <v>73</v>
      </c>
      <c r="F116" t="s">
        <v>73</v>
      </c>
      <c r="G116" t="s">
        <v>73</v>
      </c>
      <c r="H116" t="s">
        <v>1196</v>
      </c>
    </row>
    <row r="117" spans="1:8" x14ac:dyDescent="0.2">
      <c r="A117">
        <v>400</v>
      </c>
      <c r="B117">
        <v>561</v>
      </c>
      <c r="C117" t="s">
        <v>1305</v>
      </c>
      <c r="D117" t="s">
        <v>11</v>
      </c>
      <c r="E117" t="s">
        <v>73</v>
      </c>
      <c r="F117" t="s">
        <v>73</v>
      </c>
      <c r="G117" t="s">
        <v>73</v>
      </c>
      <c r="H117" t="s">
        <v>73</v>
      </c>
    </row>
    <row r="118" spans="1:8" x14ac:dyDescent="0.2">
      <c r="A118">
        <v>400</v>
      </c>
      <c r="B118">
        <v>945</v>
      </c>
      <c r="C118" t="s">
        <v>1306</v>
      </c>
      <c r="D118" t="s">
        <v>11</v>
      </c>
      <c r="E118" t="s">
        <v>73</v>
      </c>
      <c r="F118" t="s">
        <v>73</v>
      </c>
      <c r="G118" t="s">
        <v>73</v>
      </c>
      <c r="H118" t="s">
        <v>1167</v>
      </c>
    </row>
    <row r="119" spans="1:8" x14ac:dyDescent="0.2">
      <c r="A119">
        <v>400</v>
      </c>
      <c r="B119">
        <v>1034</v>
      </c>
      <c r="C119" t="s">
        <v>1307</v>
      </c>
      <c r="D119" t="s">
        <v>11</v>
      </c>
      <c r="E119" t="s">
        <v>104</v>
      </c>
      <c r="F119" t="s">
        <v>73</v>
      </c>
      <c r="G119" t="s">
        <v>11</v>
      </c>
      <c r="H119" t="s">
        <v>1199</v>
      </c>
    </row>
    <row r="120" spans="1:8" x14ac:dyDescent="0.2">
      <c r="A120">
        <v>400</v>
      </c>
      <c r="B120">
        <v>1076</v>
      </c>
      <c r="C120" t="s">
        <v>1308</v>
      </c>
      <c r="D120" t="s">
        <v>11</v>
      </c>
      <c r="E120" t="s">
        <v>73</v>
      </c>
      <c r="F120" t="s">
        <v>73</v>
      </c>
      <c r="G120" t="s">
        <v>73</v>
      </c>
      <c r="H120" t="s">
        <v>1167</v>
      </c>
    </row>
    <row r="121" spans="1:8" x14ac:dyDescent="0.2">
      <c r="A121">
        <v>400</v>
      </c>
      <c r="B121">
        <v>1090</v>
      </c>
      <c r="C121" t="s">
        <v>1309</v>
      </c>
      <c r="D121" t="s">
        <v>11</v>
      </c>
      <c r="E121" t="s">
        <v>73</v>
      </c>
      <c r="F121" t="s">
        <v>73</v>
      </c>
      <c r="G121" t="s">
        <v>73</v>
      </c>
      <c r="H121" t="s">
        <v>73</v>
      </c>
    </row>
    <row r="122" spans="1:8" x14ac:dyDescent="0.2">
      <c r="A122">
        <v>400</v>
      </c>
      <c r="B122">
        <v>1996</v>
      </c>
      <c r="C122" t="s">
        <v>1310</v>
      </c>
      <c r="D122" t="s">
        <v>11</v>
      </c>
      <c r="E122" t="s">
        <v>73</v>
      </c>
      <c r="F122" t="s">
        <v>73</v>
      </c>
      <c r="G122" t="s">
        <v>73</v>
      </c>
      <c r="H122" t="s">
        <v>1199</v>
      </c>
    </row>
    <row r="123" spans="1:8" x14ac:dyDescent="0.2">
      <c r="A123">
        <v>400</v>
      </c>
      <c r="B123">
        <v>2574</v>
      </c>
      <c r="C123" t="s">
        <v>1311</v>
      </c>
      <c r="D123" t="s">
        <v>11</v>
      </c>
      <c r="E123" t="s">
        <v>73</v>
      </c>
      <c r="F123" t="s">
        <v>73</v>
      </c>
      <c r="G123" t="s">
        <v>73</v>
      </c>
      <c r="H123" t="s">
        <v>1199</v>
      </c>
    </row>
    <row r="124" spans="1:8" x14ac:dyDescent="0.2">
      <c r="A124">
        <v>410</v>
      </c>
      <c r="B124">
        <v>479</v>
      </c>
      <c r="C124" t="s">
        <v>1312</v>
      </c>
      <c r="D124" t="s">
        <v>9</v>
      </c>
      <c r="E124" t="s">
        <v>73</v>
      </c>
      <c r="F124" t="s">
        <v>73</v>
      </c>
      <c r="G124" t="s">
        <v>73</v>
      </c>
      <c r="H124" t="s">
        <v>1199</v>
      </c>
    </row>
    <row r="125" spans="1:8" x14ac:dyDescent="0.2">
      <c r="A125">
        <v>410</v>
      </c>
      <c r="B125">
        <v>547</v>
      </c>
      <c r="C125" t="s">
        <v>1313</v>
      </c>
      <c r="D125" t="s">
        <v>9</v>
      </c>
      <c r="E125" t="s">
        <v>104</v>
      </c>
      <c r="F125" t="s">
        <v>1314</v>
      </c>
      <c r="G125" t="s">
        <v>1174</v>
      </c>
      <c r="H125" t="s">
        <v>1199</v>
      </c>
    </row>
    <row r="126" spans="1:8" x14ac:dyDescent="0.2">
      <c r="A126">
        <v>410</v>
      </c>
      <c r="B126">
        <v>1499</v>
      </c>
      <c r="C126" t="s">
        <v>1315</v>
      </c>
      <c r="D126" t="s">
        <v>9</v>
      </c>
      <c r="E126" t="s">
        <v>73</v>
      </c>
      <c r="F126" t="s">
        <v>73</v>
      </c>
      <c r="G126" t="s">
        <v>73</v>
      </c>
      <c r="H126" t="s">
        <v>1199</v>
      </c>
    </row>
    <row r="127" spans="1:8" x14ac:dyDescent="0.2">
      <c r="A127">
        <v>410</v>
      </c>
      <c r="B127">
        <v>1588</v>
      </c>
      <c r="C127" t="s">
        <v>1316</v>
      </c>
      <c r="D127" t="s">
        <v>9</v>
      </c>
      <c r="E127" t="s">
        <v>104</v>
      </c>
      <c r="F127" t="s">
        <v>73</v>
      </c>
      <c r="G127" t="s">
        <v>9</v>
      </c>
      <c r="H127" t="s">
        <v>1167</v>
      </c>
    </row>
    <row r="128" spans="1:8" x14ac:dyDescent="0.2">
      <c r="A128">
        <v>410</v>
      </c>
      <c r="B128">
        <v>1969</v>
      </c>
      <c r="C128" t="s">
        <v>1317</v>
      </c>
      <c r="D128" t="s">
        <v>9</v>
      </c>
      <c r="E128" t="s">
        <v>73</v>
      </c>
      <c r="F128" t="s">
        <v>73</v>
      </c>
      <c r="G128" t="s">
        <v>73</v>
      </c>
      <c r="H128" t="s">
        <v>1167</v>
      </c>
    </row>
    <row r="129" spans="1:8" x14ac:dyDescent="0.2">
      <c r="A129">
        <v>442</v>
      </c>
      <c r="B129">
        <v>489</v>
      </c>
      <c r="C129" t="s">
        <v>1318</v>
      </c>
      <c r="D129" t="s">
        <v>13</v>
      </c>
      <c r="E129" t="s">
        <v>104</v>
      </c>
      <c r="F129" t="s">
        <v>1319</v>
      </c>
      <c r="G129" t="s">
        <v>13</v>
      </c>
      <c r="H129" t="s">
        <v>1199</v>
      </c>
    </row>
    <row r="130" spans="1:8" x14ac:dyDescent="0.2">
      <c r="A130">
        <v>442</v>
      </c>
      <c r="B130">
        <v>2395</v>
      </c>
      <c r="C130" t="s">
        <v>1320</v>
      </c>
      <c r="D130" t="s">
        <v>13</v>
      </c>
      <c r="E130" t="s">
        <v>92</v>
      </c>
      <c r="F130" t="s">
        <v>73</v>
      </c>
      <c r="G130" t="s">
        <v>73</v>
      </c>
      <c r="H130" t="s">
        <v>1321</v>
      </c>
    </row>
    <row r="131" spans="1:8" x14ac:dyDescent="0.2">
      <c r="A131">
        <v>442</v>
      </c>
      <c r="B131">
        <v>2452</v>
      </c>
      <c r="C131" t="s">
        <v>1322</v>
      </c>
      <c r="D131" t="s">
        <v>13</v>
      </c>
      <c r="E131" t="s">
        <v>104</v>
      </c>
      <c r="F131" t="s">
        <v>1323</v>
      </c>
      <c r="G131" t="s">
        <v>1324</v>
      </c>
      <c r="H131" t="s">
        <v>1163</v>
      </c>
    </row>
    <row r="132" spans="1:8" x14ac:dyDescent="0.2">
      <c r="A132">
        <v>446</v>
      </c>
      <c r="B132">
        <v>14</v>
      </c>
      <c r="C132" t="s">
        <v>1325</v>
      </c>
      <c r="D132" t="s">
        <v>10</v>
      </c>
      <c r="E132" t="s">
        <v>104</v>
      </c>
      <c r="F132" t="s">
        <v>1326</v>
      </c>
      <c r="G132" t="s">
        <v>10</v>
      </c>
      <c r="H132" t="s">
        <v>1167</v>
      </c>
    </row>
    <row r="133" spans="1:8" x14ac:dyDescent="0.2">
      <c r="A133">
        <v>446</v>
      </c>
      <c r="B133">
        <v>39</v>
      </c>
      <c r="C133" t="s">
        <v>1327</v>
      </c>
      <c r="D133" t="s">
        <v>10</v>
      </c>
      <c r="E133" t="s">
        <v>92</v>
      </c>
      <c r="F133" t="s">
        <v>73</v>
      </c>
      <c r="G133" t="s">
        <v>73</v>
      </c>
      <c r="H133" t="s">
        <v>1199</v>
      </c>
    </row>
    <row r="134" spans="1:8" x14ac:dyDescent="0.2">
      <c r="A134">
        <v>446</v>
      </c>
      <c r="B134">
        <v>810</v>
      </c>
      <c r="C134" t="s">
        <v>1328</v>
      </c>
      <c r="D134" t="s">
        <v>10</v>
      </c>
      <c r="E134" t="s">
        <v>92</v>
      </c>
      <c r="F134" t="s">
        <v>73</v>
      </c>
      <c r="G134" t="s">
        <v>73</v>
      </c>
      <c r="H134" t="s">
        <v>73</v>
      </c>
    </row>
    <row r="135" spans="1:8" x14ac:dyDescent="0.2">
      <c r="A135">
        <v>446</v>
      </c>
      <c r="B135">
        <v>1278</v>
      </c>
      <c r="C135" t="s">
        <v>1329</v>
      </c>
      <c r="D135" t="s">
        <v>10</v>
      </c>
      <c r="E135" t="s">
        <v>104</v>
      </c>
      <c r="F135" t="s">
        <v>73</v>
      </c>
      <c r="G135" t="s">
        <v>10</v>
      </c>
      <c r="H135" t="s">
        <v>1199</v>
      </c>
    </row>
    <row r="136" spans="1:8" x14ac:dyDescent="0.2">
      <c r="A136">
        <v>446</v>
      </c>
      <c r="B136">
        <v>1906</v>
      </c>
      <c r="C136" t="s">
        <v>1330</v>
      </c>
      <c r="D136" t="s">
        <v>10</v>
      </c>
      <c r="E136" t="s">
        <v>92</v>
      </c>
      <c r="F136" t="s">
        <v>73</v>
      </c>
      <c r="G136" t="s">
        <v>73</v>
      </c>
      <c r="H136" t="s">
        <v>1167</v>
      </c>
    </row>
    <row r="137" spans="1:8" x14ac:dyDescent="0.2">
      <c r="A137">
        <v>455</v>
      </c>
      <c r="B137">
        <v>303</v>
      </c>
      <c r="C137" t="s">
        <v>1331</v>
      </c>
      <c r="D137" t="s">
        <v>12</v>
      </c>
      <c r="E137" t="s">
        <v>104</v>
      </c>
      <c r="F137" t="s">
        <v>1332</v>
      </c>
      <c r="G137" t="s">
        <v>1093</v>
      </c>
      <c r="H137" t="s">
        <v>1199</v>
      </c>
    </row>
    <row r="138" spans="1:8" x14ac:dyDescent="0.2">
      <c r="A138">
        <v>455</v>
      </c>
      <c r="B138">
        <v>1644</v>
      </c>
      <c r="C138" t="s">
        <v>1333</v>
      </c>
      <c r="D138" t="s">
        <v>12</v>
      </c>
      <c r="E138" t="s">
        <v>73</v>
      </c>
      <c r="F138" t="s">
        <v>73</v>
      </c>
      <c r="G138" t="s">
        <v>73</v>
      </c>
      <c r="H138" t="s">
        <v>1167</v>
      </c>
    </row>
    <row r="139" spans="1:8" x14ac:dyDescent="0.2">
      <c r="A139">
        <v>455</v>
      </c>
      <c r="B139">
        <v>2242</v>
      </c>
      <c r="C139" t="s">
        <v>1334</v>
      </c>
      <c r="D139" t="s">
        <v>12</v>
      </c>
      <c r="E139" t="s">
        <v>73</v>
      </c>
      <c r="F139" t="s">
        <v>73</v>
      </c>
      <c r="G139" t="s">
        <v>73</v>
      </c>
      <c r="H139" t="s">
        <v>1167</v>
      </c>
    </row>
    <row r="140" spans="1:8" x14ac:dyDescent="0.2">
      <c r="A140">
        <v>455</v>
      </c>
      <c r="B140">
        <v>2308</v>
      </c>
      <c r="C140" t="s">
        <v>1186</v>
      </c>
      <c r="D140" t="s">
        <v>12</v>
      </c>
      <c r="E140" t="s">
        <v>73</v>
      </c>
      <c r="F140" t="s">
        <v>73</v>
      </c>
      <c r="G140" t="s">
        <v>73</v>
      </c>
      <c r="H140" t="s">
        <v>1163</v>
      </c>
    </row>
    <row r="141" spans="1:8" x14ac:dyDescent="0.2">
      <c r="A141">
        <v>455</v>
      </c>
      <c r="B141">
        <v>2324</v>
      </c>
      <c r="C141" t="s">
        <v>1335</v>
      </c>
      <c r="D141" t="s">
        <v>12</v>
      </c>
      <c r="E141" t="s">
        <v>73</v>
      </c>
      <c r="F141" t="s">
        <v>73</v>
      </c>
      <c r="G141" t="s">
        <v>73</v>
      </c>
      <c r="H141" t="s">
        <v>1199</v>
      </c>
    </row>
    <row r="142" spans="1:8" x14ac:dyDescent="0.2">
      <c r="A142">
        <v>455</v>
      </c>
      <c r="B142">
        <v>2352</v>
      </c>
      <c r="C142" t="s">
        <v>1336</v>
      </c>
      <c r="D142" t="s">
        <v>12</v>
      </c>
      <c r="E142" t="s">
        <v>73</v>
      </c>
      <c r="F142" t="s">
        <v>73</v>
      </c>
      <c r="G142" t="s">
        <v>73</v>
      </c>
      <c r="H142" t="s">
        <v>1199</v>
      </c>
    </row>
    <row r="143" spans="1:8" x14ac:dyDescent="0.2">
      <c r="A143">
        <v>563</v>
      </c>
      <c r="B143">
        <v>381</v>
      </c>
      <c r="C143" t="s">
        <v>1337</v>
      </c>
      <c r="D143" t="s">
        <v>14</v>
      </c>
      <c r="E143" t="s">
        <v>73</v>
      </c>
      <c r="F143" t="s">
        <v>73</v>
      </c>
      <c r="G143" t="s">
        <v>73</v>
      </c>
      <c r="H143" t="s">
        <v>1199</v>
      </c>
    </row>
    <row r="144" spans="1:8" x14ac:dyDescent="0.2">
      <c r="A144">
        <v>563</v>
      </c>
      <c r="B144">
        <v>484</v>
      </c>
      <c r="C144" t="s">
        <v>1338</v>
      </c>
      <c r="D144" t="s">
        <v>14</v>
      </c>
      <c r="E144" t="s">
        <v>73</v>
      </c>
      <c r="F144" t="s">
        <v>73</v>
      </c>
      <c r="G144" t="s">
        <v>73</v>
      </c>
      <c r="H144" t="s">
        <v>73</v>
      </c>
    </row>
    <row r="145" spans="1:8" x14ac:dyDescent="0.2">
      <c r="A145">
        <v>563</v>
      </c>
      <c r="B145">
        <v>485</v>
      </c>
      <c r="C145" t="s">
        <v>1339</v>
      </c>
      <c r="D145" t="s">
        <v>14</v>
      </c>
      <c r="E145" t="s">
        <v>104</v>
      </c>
      <c r="F145" t="s">
        <v>1340</v>
      </c>
      <c r="G145" t="s">
        <v>1174</v>
      </c>
      <c r="H145" t="s">
        <v>1199</v>
      </c>
    </row>
    <row r="146" spans="1:8" x14ac:dyDescent="0.2">
      <c r="A146">
        <v>563</v>
      </c>
      <c r="B146">
        <v>925</v>
      </c>
      <c r="C146" t="s">
        <v>1341</v>
      </c>
      <c r="D146" t="s">
        <v>14</v>
      </c>
      <c r="E146" t="s">
        <v>104</v>
      </c>
      <c r="F146" t="s">
        <v>1342</v>
      </c>
      <c r="G146" t="s">
        <v>14</v>
      </c>
      <c r="H146" t="s">
        <v>1167</v>
      </c>
    </row>
    <row r="147" spans="1:8" x14ac:dyDescent="0.2">
      <c r="A147">
        <v>563</v>
      </c>
      <c r="B147">
        <v>1639</v>
      </c>
      <c r="C147" t="s">
        <v>1343</v>
      </c>
      <c r="D147" t="s">
        <v>14</v>
      </c>
      <c r="E147" t="s">
        <v>73</v>
      </c>
      <c r="F147" t="s">
        <v>73</v>
      </c>
      <c r="G147" t="s">
        <v>73</v>
      </c>
      <c r="H147" t="s">
        <v>73</v>
      </c>
    </row>
    <row r="148" spans="1:8" x14ac:dyDescent="0.2">
      <c r="A148">
        <v>563</v>
      </c>
      <c r="B148">
        <v>1676</v>
      </c>
      <c r="C148" t="s">
        <v>1344</v>
      </c>
      <c r="D148" t="s">
        <v>14</v>
      </c>
      <c r="E148" t="s">
        <v>73</v>
      </c>
      <c r="F148" t="s">
        <v>73</v>
      </c>
      <c r="G148" t="s">
        <v>73</v>
      </c>
      <c r="H148" t="s">
        <v>1167</v>
      </c>
    </row>
    <row r="149" spans="1:8" x14ac:dyDescent="0.2">
      <c r="A149">
        <v>563</v>
      </c>
      <c r="B149">
        <v>1808</v>
      </c>
      <c r="C149" t="s">
        <v>1345</v>
      </c>
      <c r="D149" t="s">
        <v>14</v>
      </c>
      <c r="E149" t="s">
        <v>73</v>
      </c>
      <c r="F149" t="s">
        <v>1346</v>
      </c>
      <c r="G149" t="s">
        <v>14</v>
      </c>
      <c r="H149" t="s">
        <v>1199</v>
      </c>
    </row>
    <row r="150" spans="1:8" x14ac:dyDescent="0.2">
      <c r="A150">
        <v>563</v>
      </c>
      <c r="B150">
        <v>2117</v>
      </c>
      <c r="C150" t="s">
        <v>1347</v>
      </c>
      <c r="D150" t="s">
        <v>14</v>
      </c>
      <c r="E150" t="s">
        <v>92</v>
      </c>
      <c r="F150" t="s">
        <v>73</v>
      </c>
      <c r="G150" t="s">
        <v>73</v>
      </c>
      <c r="H150" t="s">
        <v>1163</v>
      </c>
    </row>
    <row r="151" spans="1:8" x14ac:dyDescent="0.2">
      <c r="A151">
        <v>563</v>
      </c>
      <c r="B151">
        <v>2260</v>
      </c>
      <c r="C151" t="s">
        <v>1348</v>
      </c>
      <c r="D151" t="s">
        <v>14</v>
      </c>
      <c r="E151" t="s">
        <v>73</v>
      </c>
      <c r="F151" t="s">
        <v>73</v>
      </c>
      <c r="G151" t="s">
        <v>73</v>
      </c>
      <c r="H151" t="s">
        <v>1167</v>
      </c>
    </row>
    <row r="152" spans="1:8" x14ac:dyDescent="0.2">
      <c r="A152">
        <v>563</v>
      </c>
      <c r="B152">
        <v>2292</v>
      </c>
      <c r="C152" t="s">
        <v>1349</v>
      </c>
      <c r="D152" t="s">
        <v>14</v>
      </c>
      <c r="E152" t="s">
        <v>104</v>
      </c>
      <c r="F152" t="s">
        <v>1350</v>
      </c>
      <c r="G152" t="s">
        <v>1174</v>
      </c>
      <c r="H152" t="s">
        <v>1163</v>
      </c>
    </row>
    <row r="153" spans="1:8" x14ac:dyDescent="0.2">
      <c r="A153">
        <v>563</v>
      </c>
      <c r="B153">
        <v>2604</v>
      </c>
      <c r="C153" t="s">
        <v>1351</v>
      </c>
      <c r="D153" t="s">
        <v>14</v>
      </c>
      <c r="E153" t="s">
        <v>73</v>
      </c>
      <c r="F153" t="s">
        <v>73</v>
      </c>
      <c r="G153" t="s">
        <v>73</v>
      </c>
      <c r="H153" t="s">
        <v>1199</v>
      </c>
    </row>
    <row r="154" spans="1:8" x14ac:dyDescent="0.2">
      <c r="A154">
        <v>571</v>
      </c>
      <c r="B154">
        <v>163</v>
      </c>
      <c r="C154" t="s">
        <v>1352</v>
      </c>
      <c r="D154" t="s">
        <v>15</v>
      </c>
      <c r="E154" t="s">
        <v>73</v>
      </c>
      <c r="F154" t="s">
        <v>73</v>
      </c>
      <c r="G154" t="s">
        <v>73</v>
      </c>
      <c r="H154" t="s">
        <v>1167</v>
      </c>
    </row>
    <row r="155" spans="1:8" x14ac:dyDescent="0.2">
      <c r="A155">
        <v>571</v>
      </c>
      <c r="B155">
        <v>164</v>
      </c>
      <c r="C155" t="s">
        <v>1353</v>
      </c>
      <c r="D155" t="s">
        <v>15</v>
      </c>
      <c r="E155" t="s">
        <v>73</v>
      </c>
      <c r="F155" t="s">
        <v>73</v>
      </c>
      <c r="G155" t="s">
        <v>73</v>
      </c>
      <c r="H155" t="s">
        <v>1167</v>
      </c>
    </row>
    <row r="156" spans="1:8" x14ac:dyDescent="0.2">
      <c r="A156">
        <v>571</v>
      </c>
      <c r="B156">
        <v>682</v>
      </c>
      <c r="C156" t="s">
        <v>1354</v>
      </c>
      <c r="D156" t="s">
        <v>15</v>
      </c>
      <c r="E156" t="s">
        <v>73</v>
      </c>
      <c r="F156" t="s">
        <v>73</v>
      </c>
      <c r="G156" t="s">
        <v>73</v>
      </c>
      <c r="H156" t="s">
        <v>1167</v>
      </c>
    </row>
    <row r="157" spans="1:8" x14ac:dyDescent="0.2">
      <c r="A157">
        <v>571</v>
      </c>
      <c r="B157">
        <v>1758</v>
      </c>
      <c r="C157" t="s">
        <v>1355</v>
      </c>
      <c r="D157" t="s">
        <v>15</v>
      </c>
      <c r="E157" t="s">
        <v>104</v>
      </c>
      <c r="F157" t="s">
        <v>1356</v>
      </c>
      <c r="G157" t="s">
        <v>1357</v>
      </c>
      <c r="H157" t="s">
        <v>1194</v>
      </c>
    </row>
    <row r="158" spans="1:8" x14ac:dyDescent="0.2">
      <c r="A158">
        <v>571</v>
      </c>
      <c r="B158">
        <v>2644</v>
      </c>
      <c r="C158" t="s">
        <v>1358</v>
      </c>
      <c r="D158" t="s">
        <v>15</v>
      </c>
      <c r="E158" t="s">
        <v>73</v>
      </c>
      <c r="F158" t="s">
        <v>73</v>
      </c>
      <c r="G158" t="s">
        <v>73</v>
      </c>
      <c r="H158" t="s">
        <v>1199</v>
      </c>
    </row>
    <row r="159" spans="1:8" x14ac:dyDescent="0.2">
      <c r="A159">
        <v>571</v>
      </c>
      <c r="B159">
        <v>2652</v>
      </c>
      <c r="C159" t="s">
        <v>1359</v>
      </c>
      <c r="D159" t="s">
        <v>15</v>
      </c>
      <c r="E159" t="s">
        <v>104</v>
      </c>
      <c r="F159" t="s">
        <v>1360</v>
      </c>
      <c r="G159" t="s">
        <v>808</v>
      </c>
      <c r="H159" t="s">
        <v>1199</v>
      </c>
    </row>
    <row r="160" spans="1:8" x14ac:dyDescent="0.2">
      <c r="A160">
        <v>571</v>
      </c>
      <c r="B160">
        <v>2656</v>
      </c>
      <c r="C160" t="s">
        <v>1361</v>
      </c>
      <c r="D160" t="s">
        <v>15</v>
      </c>
      <c r="E160" t="s">
        <v>104</v>
      </c>
      <c r="F160" t="s">
        <v>1362</v>
      </c>
      <c r="G160" t="s">
        <v>808</v>
      </c>
      <c r="H160" t="s">
        <v>1199</v>
      </c>
    </row>
    <row r="161" spans="1:8" x14ac:dyDescent="0.2">
      <c r="A161">
        <v>571</v>
      </c>
      <c r="B161">
        <v>2715</v>
      </c>
      <c r="C161" t="s">
        <v>1363</v>
      </c>
      <c r="D161" t="s">
        <v>15</v>
      </c>
      <c r="E161" t="s">
        <v>73</v>
      </c>
      <c r="F161" t="s">
        <v>73</v>
      </c>
      <c r="G161" t="s">
        <v>73</v>
      </c>
      <c r="H161" t="s">
        <v>1163</v>
      </c>
    </row>
    <row r="162" spans="1:8" x14ac:dyDescent="0.2">
      <c r="A162">
        <v>588</v>
      </c>
      <c r="B162">
        <v>275</v>
      </c>
      <c r="C162" t="s">
        <v>1364</v>
      </c>
      <c r="D162" t="s">
        <v>14</v>
      </c>
      <c r="E162" t="s">
        <v>73</v>
      </c>
      <c r="F162" t="s">
        <v>73</v>
      </c>
      <c r="G162" t="s">
        <v>73</v>
      </c>
      <c r="H162" t="s">
        <v>73</v>
      </c>
    </row>
    <row r="163" spans="1:8" x14ac:dyDescent="0.2">
      <c r="A163">
        <v>588</v>
      </c>
      <c r="B163">
        <v>488</v>
      </c>
      <c r="C163" t="s">
        <v>1365</v>
      </c>
      <c r="D163" t="s">
        <v>14</v>
      </c>
      <c r="E163" t="s">
        <v>73</v>
      </c>
      <c r="F163" t="s">
        <v>73</v>
      </c>
      <c r="G163" t="s">
        <v>73</v>
      </c>
      <c r="H163" t="s">
        <v>73</v>
      </c>
    </row>
    <row r="164" spans="1:8" x14ac:dyDescent="0.2">
      <c r="A164">
        <v>588</v>
      </c>
      <c r="B164">
        <v>927</v>
      </c>
      <c r="C164" t="s">
        <v>1341</v>
      </c>
      <c r="D164" t="s">
        <v>14</v>
      </c>
      <c r="E164" t="s">
        <v>104</v>
      </c>
      <c r="F164" t="s">
        <v>1342</v>
      </c>
      <c r="G164" t="s">
        <v>14</v>
      </c>
      <c r="H164" t="s">
        <v>1167</v>
      </c>
    </row>
    <row r="165" spans="1:8" x14ac:dyDescent="0.2">
      <c r="A165">
        <v>588</v>
      </c>
      <c r="B165">
        <v>1501</v>
      </c>
      <c r="C165" t="s">
        <v>1366</v>
      </c>
      <c r="D165" t="s">
        <v>14</v>
      </c>
      <c r="E165" t="s">
        <v>73</v>
      </c>
      <c r="F165" t="s">
        <v>73</v>
      </c>
      <c r="G165" t="s">
        <v>73</v>
      </c>
      <c r="H165" t="s">
        <v>1199</v>
      </c>
    </row>
    <row r="166" spans="1:8" x14ac:dyDescent="0.2">
      <c r="A166">
        <v>588</v>
      </c>
      <c r="B166">
        <v>2018</v>
      </c>
      <c r="C166" t="s">
        <v>1367</v>
      </c>
      <c r="D166" t="s">
        <v>14</v>
      </c>
      <c r="E166" t="s">
        <v>73</v>
      </c>
      <c r="F166" t="s">
        <v>73</v>
      </c>
      <c r="G166" t="s">
        <v>73</v>
      </c>
      <c r="H166" t="s">
        <v>73</v>
      </c>
    </row>
    <row r="167" spans="1:8" x14ac:dyDescent="0.2">
      <c r="A167">
        <v>588</v>
      </c>
      <c r="B167">
        <v>2592</v>
      </c>
      <c r="C167" t="s">
        <v>1368</v>
      </c>
      <c r="D167" t="s">
        <v>14</v>
      </c>
      <c r="E167" t="s">
        <v>104</v>
      </c>
      <c r="F167" t="s">
        <v>1369</v>
      </c>
      <c r="G167" t="s">
        <v>1174</v>
      </c>
      <c r="H167" t="s">
        <v>1199</v>
      </c>
    </row>
    <row r="168" spans="1:8" x14ac:dyDescent="0.2">
      <c r="A168">
        <v>588</v>
      </c>
      <c r="B168">
        <v>2621</v>
      </c>
      <c r="C168" t="s">
        <v>1370</v>
      </c>
      <c r="D168" t="s">
        <v>14</v>
      </c>
      <c r="E168" t="s">
        <v>73</v>
      </c>
      <c r="F168" t="s">
        <v>73</v>
      </c>
      <c r="G168" t="s">
        <v>73</v>
      </c>
      <c r="H168" t="s">
        <v>1199</v>
      </c>
    </row>
    <row r="169" spans="1:8" x14ac:dyDescent="0.2">
      <c r="A169">
        <v>805</v>
      </c>
      <c r="B169">
        <v>526</v>
      </c>
      <c r="C169" t="s">
        <v>1371</v>
      </c>
      <c r="D169" t="s">
        <v>4</v>
      </c>
      <c r="E169" t="s">
        <v>104</v>
      </c>
      <c r="F169" t="s">
        <v>73</v>
      </c>
      <c r="G169" t="s">
        <v>4</v>
      </c>
      <c r="H169" t="s">
        <v>1167</v>
      </c>
    </row>
    <row r="170" spans="1:8" x14ac:dyDescent="0.2">
      <c r="A170">
        <v>805</v>
      </c>
      <c r="B170">
        <v>536</v>
      </c>
      <c r="C170" t="s">
        <v>1372</v>
      </c>
      <c r="D170" t="s">
        <v>4</v>
      </c>
      <c r="E170" t="s">
        <v>104</v>
      </c>
      <c r="F170" t="s">
        <v>73</v>
      </c>
      <c r="G170" t="s">
        <v>4</v>
      </c>
      <c r="H170" t="s">
        <v>1167</v>
      </c>
    </row>
    <row r="171" spans="1:8" x14ac:dyDescent="0.2">
      <c r="A171">
        <v>805</v>
      </c>
      <c r="B171">
        <v>886</v>
      </c>
      <c r="C171" t="s">
        <v>1373</v>
      </c>
      <c r="D171" t="s">
        <v>4</v>
      </c>
      <c r="E171" t="s">
        <v>73</v>
      </c>
      <c r="F171" t="s">
        <v>73</v>
      </c>
      <c r="G171" t="s">
        <v>73</v>
      </c>
      <c r="H171" t="s">
        <v>1199</v>
      </c>
    </row>
    <row r="172" spans="1:8" x14ac:dyDescent="0.2">
      <c r="A172">
        <v>805</v>
      </c>
      <c r="B172">
        <v>1945</v>
      </c>
      <c r="C172" t="s">
        <v>1374</v>
      </c>
      <c r="D172" t="s">
        <v>4</v>
      </c>
      <c r="E172" t="s">
        <v>73</v>
      </c>
      <c r="F172" t="s">
        <v>73</v>
      </c>
      <c r="G172" t="s">
        <v>73</v>
      </c>
      <c r="H172" t="s">
        <v>1199</v>
      </c>
    </row>
    <row r="173" spans="1:8" x14ac:dyDescent="0.2">
      <c r="A173">
        <v>806</v>
      </c>
      <c r="B173">
        <v>424</v>
      </c>
      <c r="C173" t="s">
        <v>1375</v>
      </c>
      <c r="D173" t="s">
        <v>4</v>
      </c>
      <c r="E173" t="s">
        <v>73</v>
      </c>
      <c r="F173" t="s">
        <v>73</v>
      </c>
      <c r="G173" t="s">
        <v>73</v>
      </c>
      <c r="H173" t="s">
        <v>1163</v>
      </c>
    </row>
    <row r="174" spans="1:8" x14ac:dyDescent="0.2">
      <c r="A174">
        <v>806</v>
      </c>
      <c r="B174">
        <v>502</v>
      </c>
      <c r="C174" t="s">
        <v>1376</v>
      </c>
      <c r="D174" t="s">
        <v>4</v>
      </c>
      <c r="E174" t="s">
        <v>104</v>
      </c>
      <c r="F174" t="s">
        <v>73</v>
      </c>
      <c r="G174" t="s">
        <v>4</v>
      </c>
      <c r="H174" t="s">
        <v>1167</v>
      </c>
    </row>
    <row r="175" spans="1:8" x14ac:dyDescent="0.2">
      <c r="A175">
        <v>806</v>
      </c>
      <c r="B175">
        <v>731</v>
      </c>
      <c r="C175" t="s">
        <v>1200</v>
      </c>
      <c r="D175" t="s">
        <v>4</v>
      </c>
      <c r="E175" t="s">
        <v>73</v>
      </c>
      <c r="F175" t="s">
        <v>73</v>
      </c>
      <c r="G175" t="s">
        <v>73</v>
      </c>
      <c r="H175" t="s">
        <v>1163</v>
      </c>
    </row>
    <row r="176" spans="1:8" x14ac:dyDescent="0.2">
      <c r="A176">
        <v>806</v>
      </c>
      <c r="B176">
        <v>887</v>
      </c>
      <c r="C176" t="s">
        <v>1373</v>
      </c>
      <c r="D176" t="s">
        <v>4</v>
      </c>
      <c r="E176" t="s">
        <v>73</v>
      </c>
      <c r="F176" t="s">
        <v>73</v>
      </c>
      <c r="G176" t="s">
        <v>73</v>
      </c>
      <c r="H176" t="s">
        <v>1199</v>
      </c>
    </row>
    <row r="177" spans="1:8" x14ac:dyDescent="0.2">
      <c r="A177">
        <v>806</v>
      </c>
      <c r="B177">
        <v>1139</v>
      </c>
      <c r="C177" t="s">
        <v>1377</v>
      </c>
      <c r="D177" t="s">
        <v>4</v>
      </c>
      <c r="E177" t="s">
        <v>73</v>
      </c>
      <c r="F177" t="s">
        <v>73</v>
      </c>
      <c r="G177" t="s">
        <v>73</v>
      </c>
      <c r="H177" t="s">
        <v>73</v>
      </c>
    </row>
    <row r="178" spans="1:8" x14ac:dyDescent="0.2">
      <c r="A178">
        <v>807</v>
      </c>
      <c r="B178">
        <v>270</v>
      </c>
      <c r="C178" t="s">
        <v>1378</v>
      </c>
      <c r="D178" t="s">
        <v>4</v>
      </c>
      <c r="E178" t="s">
        <v>104</v>
      </c>
      <c r="F178" t="s">
        <v>73</v>
      </c>
      <c r="G178" t="s">
        <v>4</v>
      </c>
      <c r="H178" t="s">
        <v>1167</v>
      </c>
    </row>
    <row r="179" spans="1:8" x14ac:dyDescent="0.2">
      <c r="A179">
        <v>807</v>
      </c>
      <c r="B179">
        <v>425</v>
      </c>
      <c r="C179" t="s">
        <v>1375</v>
      </c>
      <c r="D179" t="s">
        <v>4</v>
      </c>
      <c r="E179" t="s">
        <v>73</v>
      </c>
      <c r="F179" t="s">
        <v>73</v>
      </c>
      <c r="G179" t="s">
        <v>73</v>
      </c>
      <c r="H179" t="s">
        <v>1163</v>
      </c>
    </row>
    <row r="180" spans="1:8" x14ac:dyDescent="0.2">
      <c r="A180">
        <v>807</v>
      </c>
      <c r="B180">
        <v>732</v>
      </c>
      <c r="C180" t="s">
        <v>1200</v>
      </c>
      <c r="D180" t="s">
        <v>4</v>
      </c>
      <c r="E180" t="s">
        <v>73</v>
      </c>
      <c r="F180" t="s">
        <v>73</v>
      </c>
      <c r="G180" t="s">
        <v>73</v>
      </c>
      <c r="H180" t="s">
        <v>1163</v>
      </c>
    </row>
    <row r="181" spans="1:8" x14ac:dyDescent="0.2">
      <c r="A181">
        <v>807</v>
      </c>
      <c r="B181">
        <v>888</v>
      </c>
      <c r="C181" t="s">
        <v>1373</v>
      </c>
      <c r="D181" t="s">
        <v>4</v>
      </c>
      <c r="E181" t="s">
        <v>73</v>
      </c>
      <c r="F181" t="s">
        <v>73</v>
      </c>
      <c r="G181" t="s">
        <v>73</v>
      </c>
      <c r="H181" t="s">
        <v>1199</v>
      </c>
    </row>
    <row r="182" spans="1:8" x14ac:dyDescent="0.2">
      <c r="A182">
        <v>808</v>
      </c>
      <c r="B182">
        <v>527</v>
      </c>
      <c r="C182" t="s">
        <v>1379</v>
      </c>
      <c r="D182" t="s">
        <v>4</v>
      </c>
      <c r="E182" t="s">
        <v>104</v>
      </c>
      <c r="F182" t="s">
        <v>73</v>
      </c>
      <c r="G182" t="s">
        <v>4</v>
      </c>
      <c r="H182" t="s">
        <v>1167</v>
      </c>
    </row>
    <row r="183" spans="1:8" x14ac:dyDescent="0.2">
      <c r="A183">
        <v>808</v>
      </c>
      <c r="B183">
        <v>889</v>
      </c>
      <c r="C183" t="s">
        <v>1373</v>
      </c>
      <c r="D183" t="s">
        <v>4</v>
      </c>
      <c r="E183" t="s">
        <v>92</v>
      </c>
      <c r="F183" t="s">
        <v>73</v>
      </c>
      <c r="G183" t="s">
        <v>73</v>
      </c>
      <c r="H183" t="s">
        <v>1199</v>
      </c>
    </row>
    <row r="184" spans="1:8" x14ac:dyDescent="0.2">
      <c r="A184">
        <v>809</v>
      </c>
      <c r="B184">
        <v>426</v>
      </c>
      <c r="C184" t="s">
        <v>1375</v>
      </c>
      <c r="D184" t="s">
        <v>4</v>
      </c>
      <c r="E184" t="s">
        <v>73</v>
      </c>
      <c r="F184" t="s">
        <v>73</v>
      </c>
      <c r="G184" t="s">
        <v>73</v>
      </c>
      <c r="H184" t="s">
        <v>1163</v>
      </c>
    </row>
    <row r="185" spans="1:8" x14ac:dyDescent="0.2">
      <c r="A185">
        <v>809</v>
      </c>
      <c r="B185">
        <v>509</v>
      </c>
      <c r="C185" t="s">
        <v>1380</v>
      </c>
      <c r="D185" t="s">
        <v>4</v>
      </c>
      <c r="E185" t="s">
        <v>104</v>
      </c>
      <c r="F185" t="s">
        <v>73</v>
      </c>
      <c r="G185" t="s">
        <v>4</v>
      </c>
      <c r="H185" t="s">
        <v>1167</v>
      </c>
    </row>
    <row r="186" spans="1:8" x14ac:dyDescent="0.2">
      <c r="A186">
        <v>809</v>
      </c>
      <c r="B186">
        <v>510</v>
      </c>
      <c r="C186" t="s">
        <v>1381</v>
      </c>
      <c r="D186" t="s">
        <v>4</v>
      </c>
      <c r="E186" t="s">
        <v>104</v>
      </c>
      <c r="F186" t="s">
        <v>73</v>
      </c>
      <c r="G186" t="s">
        <v>4</v>
      </c>
      <c r="H186" t="s">
        <v>1167</v>
      </c>
    </row>
    <row r="187" spans="1:8" x14ac:dyDescent="0.2">
      <c r="A187">
        <v>809</v>
      </c>
      <c r="B187">
        <v>515</v>
      </c>
      <c r="C187" t="s">
        <v>1382</v>
      </c>
      <c r="D187" t="s">
        <v>4</v>
      </c>
      <c r="E187" t="s">
        <v>104</v>
      </c>
      <c r="F187" t="s">
        <v>73</v>
      </c>
      <c r="G187" t="s">
        <v>4</v>
      </c>
      <c r="H187" t="s">
        <v>1167</v>
      </c>
    </row>
    <row r="188" spans="1:8" x14ac:dyDescent="0.2">
      <c r="A188">
        <v>809</v>
      </c>
      <c r="B188">
        <v>525</v>
      </c>
      <c r="C188" t="s">
        <v>1383</v>
      </c>
      <c r="D188" t="s">
        <v>4</v>
      </c>
      <c r="E188" t="s">
        <v>104</v>
      </c>
      <c r="F188" t="s">
        <v>73</v>
      </c>
      <c r="G188" t="s">
        <v>4</v>
      </c>
      <c r="H188" t="s">
        <v>1167</v>
      </c>
    </row>
    <row r="189" spans="1:8" x14ac:dyDescent="0.2">
      <c r="A189">
        <v>809</v>
      </c>
      <c r="B189">
        <v>529</v>
      </c>
      <c r="C189" t="s">
        <v>1384</v>
      </c>
      <c r="D189" t="s">
        <v>4</v>
      </c>
      <c r="E189" t="s">
        <v>104</v>
      </c>
      <c r="F189" t="s">
        <v>73</v>
      </c>
      <c r="G189" t="s">
        <v>4</v>
      </c>
      <c r="H189" t="s">
        <v>1167</v>
      </c>
    </row>
    <row r="190" spans="1:8" x14ac:dyDescent="0.2">
      <c r="A190">
        <v>809</v>
      </c>
      <c r="B190">
        <v>532</v>
      </c>
      <c r="C190" t="s">
        <v>1385</v>
      </c>
      <c r="D190" t="s">
        <v>4</v>
      </c>
      <c r="E190" t="s">
        <v>104</v>
      </c>
      <c r="F190" t="s">
        <v>73</v>
      </c>
      <c r="G190" t="s">
        <v>4</v>
      </c>
      <c r="H190" t="s">
        <v>1167</v>
      </c>
    </row>
    <row r="191" spans="1:8" x14ac:dyDescent="0.2">
      <c r="A191">
        <v>809</v>
      </c>
      <c r="B191">
        <v>733</v>
      </c>
      <c r="C191" t="s">
        <v>1200</v>
      </c>
      <c r="D191" t="s">
        <v>4</v>
      </c>
      <c r="E191" t="s">
        <v>73</v>
      </c>
      <c r="F191" t="s">
        <v>73</v>
      </c>
      <c r="G191" t="s">
        <v>73</v>
      </c>
      <c r="H191" t="s">
        <v>1163</v>
      </c>
    </row>
    <row r="192" spans="1:8" x14ac:dyDescent="0.2">
      <c r="A192">
        <v>810</v>
      </c>
      <c r="B192">
        <v>91</v>
      </c>
      <c r="C192" t="s">
        <v>1386</v>
      </c>
      <c r="D192" t="s">
        <v>4</v>
      </c>
      <c r="E192" t="s">
        <v>73</v>
      </c>
      <c r="F192" t="s">
        <v>73</v>
      </c>
      <c r="G192" t="s">
        <v>73</v>
      </c>
      <c r="H192" t="s">
        <v>1163</v>
      </c>
    </row>
    <row r="193" spans="1:8" x14ac:dyDescent="0.2">
      <c r="A193">
        <v>810</v>
      </c>
      <c r="B193">
        <v>367</v>
      </c>
      <c r="C193" t="s">
        <v>1387</v>
      </c>
      <c r="D193" t="s">
        <v>4</v>
      </c>
      <c r="E193" t="s">
        <v>73</v>
      </c>
      <c r="F193" t="s">
        <v>73</v>
      </c>
      <c r="G193" t="s">
        <v>73</v>
      </c>
      <c r="H193" t="s">
        <v>1196</v>
      </c>
    </row>
    <row r="194" spans="1:8" x14ac:dyDescent="0.2">
      <c r="A194">
        <v>810</v>
      </c>
      <c r="B194">
        <v>427</v>
      </c>
      <c r="C194" t="s">
        <v>1375</v>
      </c>
      <c r="D194" t="s">
        <v>4</v>
      </c>
      <c r="E194" t="s">
        <v>73</v>
      </c>
      <c r="F194" t="s">
        <v>73</v>
      </c>
      <c r="G194" t="s">
        <v>73</v>
      </c>
      <c r="H194" t="s">
        <v>1163</v>
      </c>
    </row>
    <row r="195" spans="1:8" x14ac:dyDescent="0.2">
      <c r="A195">
        <v>810</v>
      </c>
      <c r="B195">
        <v>505</v>
      </c>
      <c r="C195" t="s">
        <v>1388</v>
      </c>
      <c r="D195" t="s">
        <v>4</v>
      </c>
      <c r="E195" t="s">
        <v>73</v>
      </c>
      <c r="F195" t="s">
        <v>73</v>
      </c>
      <c r="G195" t="s">
        <v>73</v>
      </c>
      <c r="H195" t="s">
        <v>1196</v>
      </c>
    </row>
    <row r="196" spans="1:8" x14ac:dyDescent="0.2">
      <c r="A196">
        <v>810</v>
      </c>
      <c r="B196">
        <v>521</v>
      </c>
      <c r="C196" t="s">
        <v>1389</v>
      </c>
      <c r="D196" t="s">
        <v>4</v>
      </c>
      <c r="E196" t="s">
        <v>104</v>
      </c>
      <c r="F196" t="s">
        <v>73</v>
      </c>
      <c r="G196" t="s">
        <v>4</v>
      </c>
      <c r="H196" t="s">
        <v>1167</v>
      </c>
    </row>
    <row r="197" spans="1:8" x14ac:dyDescent="0.2">
      <c r="A197">
        <v>810</v>
      </c>
      <c r="B197">
        <v>522</v>
      </c>
      <c r="C197" t="s">
        <v>1390</v>
      </c>
      <c r="D197" t="s">
        <v>4</v>
      </c>
      <c r="E197" t="s">
        <v>104</v>
      </c>
      <c r="F197" t="s">
        <v>73</v>
      </c>
      <c r="G197" t="s">
        <v>4</v>
      </c>
      <c r="H197" t="s">
        <v>1167</v>
      </c>
    </row>
    <row r="198" spans="1:8" x14ac:dyDescent="0.2">
      <c r="A198">
        <v>810</v>
      </c>
      <c r="B198">
        <v>523</v>
      </c>
      <c r="C198" t="s">
        <v>1391</v>
      </c>
      <c r="D198" t="s">
        <v>4</v>
      </c>
      <c r="E198" t="s">
        <v>104</v>
      </c>
      <c r="F198" t="s">
        <v>73</v>
      </c>
      <c r="G198" t="s">
        <v>4</v>
      </c>
      <c r="H198" t="s">
        <v>1167</v>
      </c>
    </row>
    <row r="199" spans="1:8" x14ac:dyDescent="0.2">
      <c r="A199">
        <v>810</v>
      </c>
      <c r="B199">
        <v>524</v>
      </c>
      <c r="C199" t="s">
        <v>1392</v>
      </c>
      <c r="D199" t="s">
        <v>4</v>
      </c>
      <c r="E199" t="s">
        <v>104</v>
      </c>
      <c r="F199" t="s">
        <v>73</v>
      </c>
      <c r="G199" t="s">
        <v>4</v>
      </c>
      <c r="H199" t="s">
        <v>1167</v>
      </c>
    </row>
    <row r="200" spans="1:8" x14ac:dyDescent="0.2">
      <c r="A200">
        <v>810</v>
      </c>
      <c r="B200">
        <v>650</v>
      </c>
      <c r="C200" t="s">
        <v>1393</v>
      </c>
      <c r="D200" t="s">
        <v>4</v>
      </c>
      <c r="E200" t="s">
        <v>73</v>
      </c>
      <c r="F200" t="s">
        <v>73</v>
      </c>
      <c r="G200" t="s">
        <v>73</v>
      </c>
      <c r="H200" t="s">
        <v>73</v>
      </c>
    </row>
    <row r="201" spans="1:8" x14ac:dyDescent="0.2">
      <c r="A201">
        <v>810</v>
      </c>
      <c r="B201">
        <v>712</v>
      </c>
      <c r="C201" t="s">
        <v>1394</v>
      </c>
      <c r="D201" t="s">
        <v>4</v>
      </c>
      <c r="E201" t="s">
        <v>73</v>
      </c>
      <c r="F201" t="s">
        <v>73</v>
      </c>
      <c r="G201" t="s">
        <v>73</v>
      </c>
      <c r="H201" t="s">
        <v>73</v>
      </c>
    </row>
    <row r="202" spans="1:8" x14ac:dyDescent="0.2">
      <c r="A202">
        <v>810</v>
      </c>
      <c r="B202">
        <v>734</v>
      </c>
      <c r="C202" t="s">
        <v>1200</v>
      </c>
      <c r="D202" t="s">
        <v>4</v>
      </c>
      <c r="E202" t="s">
        <v>73</v>
      </c>
      <c r="F202" t="s">
        <v>73</v>
      </c>
      <c r="G202" t="s">
        <v>73</v>
      </c>
      <c r="H202" t="s">
        <v>1163</v>
      </c>
    </row>
    <row r="203" spans="1:8" x14ac:dyDescent="0.2">
      <c r="A203">
        <v>810</v>
      </c>
      <c r="B203">
        <v>890</v>
      </c>
      <c r="C203" t="s">
        <v>1373</v>
      </c>
      <c r="D203" t="s">
        <v>4</v>
      </c>
      <c r="E203" t="s">
        <v>73</v>
      </c>
      <c r="F203" t="s">
        <v>73</v>
      </c>
      <c r="G203" t="s">
        <v>73</v>
      </c>
      <c r="H203" t="s">
        <v>1199</v>
      </c>
    </row>
    <row r="204" spans="1:8" x14ac:dyDescent="0.2">
      <c r="A204">
        <v>810</v>
      </c>
      <c r="B204">
        <v>981</v>
      </c>
      <c r="C204" t="s">
        <v>1395</v>
      </c>
      <c r="D204" t="s">
        <v>4</v>
      </c>
      <c r="E204" t="s">
        <v>73</v>
      </c>
      <c r="F204" t="s">
        <v>73</v>
      </c>
      <c r="G204" t="s">
        <v>73</v>
      </c>
      <c r="H204" t="s">
        <v>1199</v>
      </c>
    </row>
    <row r="205" spans="1:8" x14ac:dyDescent="0.2">
      <c r="A205">
        <v>810</v>
      </c>
      <c r="B205">
        <v>1156</v>
      </c>
      <c r="C205" t="s">
        <v>1396</v>
      </c>
      <c r="D205" t="s">
        <v>4</v>
      </c>
      <c r="E205" t="s">
        <v>73</v>
      </c>
      <c r="F205" t="s">
        <v>73</v>
      </c>
      <c r="G205" t="s">
        <v>73</v>
      </c>
      <c r="H205" t="s">
        <v>1196</v>
      </c>
    </row>
    <row r="206" spans="1:8" x14ac:dyDescent="0.2">
      <c r="A206">
        <v>810</v>
      </c>
      <c r="B206">
        <v>1667</v>
      </c>
      <c r="C206" t="s">
        <v>1397</v>
      </c>
      <c r="D206" t="s">
        <v>4</v>
      </c>
      <c r="E206" t="s">
        <v>73</v>
      </c>
      <c r="F206" t="s">
        <v>73</v>
      </c>
      <c r="G206" t="s">
        <v>73</v>
      </c>
      <c r="H206" t="s">
        <v>73</v>
      </c>
    </row>
    <row r="207" spans="1:8" x14ac:dyDescent="0.2">
      <c r="A207">
        <v>810</v>
      </c>
      <c r="B207">
        <v>1935</v>
      </c>
      <c r="C207" t="s">
        <v>1398</v>
      </c>
      <c r="D207" t="s">
        <v>4</v>
      </c>
      <c r="E207" t="s">
        <v>73</v>
      </c>
      <c r="F207" t="s">
        <v>73</v>
      </c>
      <c r="G207" t="s">
        <v>73</v>
      </c>
      <c r="H207" t="s">
        <v>73</v>
      </c>
    </row>
    <row r="208" spans="1:8" x14ac:dyDescent="0.2">
      <c r="A208">
        <v>810</v>
      </c>
      <c r="B208">
        <v>2294</v>
      </c>
      <c r="C208" t="s">
        <v>1349</v>
      </c>
      <c r="D208" t="s">
        <v>4</v>
      </c>
      <c r="E208" t="s">
        <v>73</v>
      </c>
      <c r="F208" t="s">
        <v>73</v>
      </c>
      <c r="G208" t="s">
        <v>73</v>
      </c>
      <c r="H208" t="s">
        <v>1163</v>
      </c>
    </row>
    <row r="209" spans="1:8" x14ac:dyDescent="0.2">
      <c r="A209">
        <v>810</v>
      </c>
      <c r="B209">
        <v>2487</v>
      </c>
      <c r="C209" t="s">
        <v>1399</v>
      </c>
      <c r="D209" t="s">
        <v>4</v>
      </c>
      <c r="E209" t="s">
        <v>73</v>
      </c>
      <c r="F209" t="s">
        <v>73</v>
      </c>
      <c r="G209" t="s">
        <v>73</v>
      </c>
      <c r="H209" t="s">
        <v>1196</v>
      </c>
    </row>
    <row r="210" spans="1:8" x14ac:dyDescent="0.2">
      <c r="A210">
        <v>811</v>
      </c>
      <c r="B210">
        <v>92</v>
      </c>
      <c r="C210" t="s">
        <v>1386</v>
      </c>
      <c r="D210" t="s">
        <v>4</v>
      </c>
      <c r="E210" t="s">
        <v>73</v>
      </c>
      <c r="F210" t="s">
        <v>73</v>
      </c>
      <c r="G210" t="s">
        <v>73</v>
      </c>
      <c r="H210" t="s">
        <v>1163</v>
      </c>
    </row>
    <row r="211" spans="1:8" x14ac:dyDescent="0.2">
      <c r="A211">
        <v>811</v>
      </c>
      <c r="B211">
        <v>368</v>
      </c>
      <c r="C211" t="s">
        <v>1387</v>
      </c>
      <c r="D211" t="s">
        <v>4</v>
      </c>
      <c r="E211" t="s">
        <v>73</v>
      </c>
      <c r="F211" t="s">
        <v>73</v>
      </c>
      <c r="G211" t="s">
        <v>73</v>
      </c>
      <c r="H211" t="s">
        <v>1196</v>
      </c>
    </row>
    <row r="212" spans="1:8" x14ac:dyDescent="0.2">
      <c r="A212">
        <v>811</v>
      </c>
      <c r="B212">
        <v>428</v>
      </c>
      <c r="C212" t="s">
        <v>1375</v>
      </c>
      <c r="D212" t="s">
        <v>4</v>
      </c>
      <c r="E212" t="s">
        <v>73</v>
      </c>
      <c r="F212" t="s">
        <v>73</v>
      </c>
      <c r="G212" t="s">
        <v>73</v>
      </c>
      <c r="H212" t="s">
        <v>1163</v>
      </c>
    </row>
    <row r="213" spans="1:8" x14ac:dyDescent="0.2">
      <c r="A213">
        <v>811</v>
      </c>
      <c r="B213">
        <v>506</v>
      </c>
      <c r="C213" t="s">
        <v>1388</v>
      </c>
      <c r="D213" t="s">
        <v>4</v>
      </c>
      <c r="E213" t="s">
        <v>73</v>
      </c>
      <c r="F213" t="s">
        <v>73</v>
      </c>
      <c r="G213" t="s">
        <v>73</v>
      </c>
      <c r="H213" t="s">
        <v>1196</v>
      </c>
    </row>
    <row r="214" spans="1:8" x14ac:dyDescent="0.2">
      <c r="A214">
        <v>811</v>
      </c>
      <c r="B214">
        <v>513</v>
      </c>
      <c r="C214" t="s">
        <v>1400</v>
      </c>
      <c r="D214" t="s">
        <v>4</v>
      </c>
      <c r="E214" t="s">
        <v>104</v>
      </c>
      <c r="F214" t="s">
        <v>73</v>
      </c>
      <c r="G214" t="s">
        <v>4</v>
      </c>
      <c r="H214" t="s">
        <v>1167</v>
      </c>
    </row>
    <row r="215" spans="1:8" x14ac:dyDescent="0.2">
      <c r="A215">
        <v>811</v>
      </c>
      <c r="B215">
        <v>520</v>
      </c>
      <c r="C215" t="s">
        <v>1401</v>
      </c>
      <c r="D215" t="s">
        <v>4</v>
      </c>
      <c r="E215" t="s">
        <v>104</v>
      </c>
      <c r="F215" t="s">
        <v>73</v>
      </c>
      <c r="G215" t="s">
        <v>4</v>
      </c>
      <c r="H215" t="s">
        <v>1167</v>
      </c>
    </row>
    <row r="216" spans="1:8" x14ac:dyDescent="0.2">
      <c r="A216">
        <v>811</v>
      </c>
      <c r="B216">
        <v>651</v>
      </c>
      <c r="C216" t="s">
        <v>1393</v>
      </c>
      <c r="D216" t="s">
        <v>4</v>
      </c>
      <c r="E216" t="s">
        <v>73</v>
      </c>
      <c r="F216" t="s">
        <v>73</v>
      </c>
      <c r="G216" t="s">
        <v>73</v>
      </c>
      <c r="H216" t="s">
        <v>73</v>
      </c>
    </row>
    <row r="217" spans="1:8" x14ac:dyDescent="0.2">
      <c r="A217">
        <v>811</v>
      </c>
      <c r="B217">
        <v>713</v>
      </c>
      <c r="C217" t="s">
        <v>1394</v>
      </c>
      <c r="D217" t="s">
        <v>4</v>
      </c>
      <c r="E217" t="s">
        <v>73</v>
      </c>
      <c r="F217" t="s">
        <v>73</v>
      </c>
      <c r="G217" t="s">
        <v>73</v>
      </c>
      <c r="H217" t="s">
        <v>73</v>
      </c>
    </row>
    <row r="218" spans="1:8" x14ac:dyDescent="0.2">
      <c r="A218">
        <v>811</v>
      </c>
      <c r="B218">
        <v>735</v>
      </c>
      <c r="C218" t="s">
        <v>1200</v>
      </c>
      <c r="D218" t="s">
        <v>4</v>
      </c>
      <c r="E218" t="s">
        <v>73</v>
      </c>
      <c r="F218" t="s">
        <v>73</v>
      </c>
      <c r="G218" t="s">
        <v>73</v>
      </c>
      <c r="H218" t="s">
        <v>1163</v>
      </c>
    </row>
    <row r="219" spans="1:8" x14ac:dyDescent="0.2">
      <c r="A219">
        <v>811</v>
      </c>
      <c r="B219">
        <v>982</v>
      </c>
      <c r="C219" t="s">
        <v>1395</v>
      </c>
      <c r="D219" t="s">
        <v>4</v>
      </c>
      <c r="E219" t="s">
        <v>73</v>
      </c>
      <c r="F219" t="s">
        <v>73</v>
      </c>
      <c r="G219" t="s">
        <v>73</v>
      </c>
      <c r="H219" t="s">
        <v>1199</v>
      </c>
    </row>
    <row r="220" spans="1:8" x14ac:dyDescent="0.2">
      <c r="A220">
        <v>811</v>
      </c>
      <c r="B220">
        <v>1157</v>
      </c>
      <c r="C220" t="s">
        <v>1396</v>
      </c>
      <c r="D220" t="s">
        <v>4</v>
      </c>
      <c r="E220" t="s">
        <v>73</v>
      </c>
      <c r="F220" t="s">
        <v>73</v>
      </c>
      <c r="G220" t="s">
        <v>73</v>
      </c>
      <c r="H220" t="s">
        <v>1196</v>
      </c>
    </row>
    <row r="221" spans="1:8" x14ac:dyDescent="0.2">
      <c r="A221">
        <v>811</v>
      </c>
      <c r="B221">
        <v>1668</v>
      </c>
      <c r="C221" t="s">
        <v>1397</v>
      </c>
      <c r="D221" t="s">
        <v>4</v>
      </c>
      <c r="E221" t="s">
        <v>73</v>
      </c>
      <c r="F221" t="s">
        <v>73</v>
      </c>
      <c r="G221" t="s">
        <v>73</v>
      </c>
      <c r="H221" t="s">
        <v>73</v>
      </c>
    </row>
    <row r="222" spans="1:8" x14ac:dyDescent="0.2">
      <c r="A222">
        <v>811</v>
      </c>
      <c r="B222">
        <v>1936</v>
      </c>
      <c r="C222" t="s">
        <v>1398</v>
      </c>
      <c r="D222" t="s">
        <v>4</v>
      </c>
      <c r="E222" t="s">
        <v>73</v>
      </c>
      <c r="F222" t="s">
        <v>73</v>
      </c>
      <c r="G222" t="s">
        <v>73</v>
      </c>
      <c r="H222" t="s">
        <v>73</v>
      </c>
    </row>
    <row r="223" spans="1:8" x14ac:dyDescent="0.2">
      <c r="A223">
        <v>811</v>
      </c>
      <c r="B223">
        <v>2295</v>
      </c>
      <c r="C223" t="s">
        <v>1349</v>
      </c>
      <c r="D223" t="s">
        <v>4</v>
      </c>
      <c r="E223" t="s">
        <v>73</v>
      </c>
      <c r="F223" t="s">
        <v>73</v>
      </c>
      <c r="G223" t="s">
        <v>73</v>
      </c>
      <c r="H223" t="s">
        <v>1163</v>
      </c>
    </row>
    <row r="224" spans="1:8" x14ac:dyDescent="0.2">
      <c r="A224">
        <v>811</v>
      </c>
      <c r="B224">
        <v>2488</v>
      </c>
      <c r="C224" t="s">
        <v>1399</v>
      </c>
      <c r="D224" t="s">
        <v>4</v>
      </c>
      <c r="E224" t="s">
        <v>73</v>
      </c>
      <c r="F224" t="s">
        <v>73</v>
      </c>
      <c r="G224" t="s">
        <v>73</v>
      </c>
      <c r="H224" t="s">
        <v>1196</v>
      </c>
    </row>
    <row r="225" spans="1:8" x14ac:dyDescent="0.2">
      <c r="A225">
        <v>812</v>
      </c>
      <c r="B225">
        <v>93</v>
      </c>
      <c r="C225" t="s">
        <v>1386</v>
      </c>
      <c r="D225" t="s">
        <v>4</v>
      </c>
      <c r="E225" t="s">
        <v>73</v>
      </c>
      <c r="F225" t="s">
        <v>73</v>
      </c>
      <c r="G225" t="s">
        <v>73</v>
      </c>
      <c r="H225" t="s">
        <v>1163</v>
      </c>
    </row>
    <row r="226" spans="1:8" x14ac:dyDescent="0.2">
      <c r="A226">
        <v>812</v>
      </c>
      <c r="B226">
        <v>369</v>
      </c>
      <c r="C226" t="s">
        <v>1387</v>
      </c>
      <c r="D226" t="s">
        <v>4</v>
      </c>
      <c r="E226" t="s">
        <v>73</v>
      </c>
      <c r="F226" t="s">
        <v>73</v>
      </c>
      <c r="G226" t="s">
        <v>73</v>
      </c>
      <c r="H226" t="s">
        <v>1196</v>
      </c>
    </row>
    <row r="227" spans="1:8" x14ac:dyDescent="0.2">
      <c r="A227">
        <v>812</v>
      </c>
      <c r="B227">
        <v>429</v>
      </c>
      <c r="C227" t="s">
        <v>1375</v>
      </c>
      <c r="D227" t="s">
        <v>4</v>
      </c>
      <c r="E227" t="s">
        <v>73</v>
      </c>
      <c r="F227" t="s">
        <v>73</v>
      </c>
      <c r="G227" t="s">
        <v>73</v>
      </c>
      <c r="H227" t="s">
        <v>1163</v>
      </c>
    </row>
    <row r="228" spans="1:8" x14ac:dyDescent="0.2">
      <c r="A228">
        <v>812</v>
      </c>
      <c r="B228">
        <v>507</v>
      </c>
      <c r="C228" t="s">
        <v>1388</v>
      </c>
      <c r="D228" t="s">
        <v>4</v>
      </c>
      <c r="E228" t="s">
        <v>73</v>
      </c>
      <c r="F228" t="s">
        <v>73</v>
      </c>
      <c r="G228" t="s">
        <v>73</v>
      </c>
      <c r="H228" t="s">
        <v>1196</v>
      </c>
    </row>
    <row r="229" spans="1:8" x14ac:dyDescent="0.2">
      <c r="A229">
        <v>812</v>
      </c>
      <c r="B229">
        <v>534</v>
      </c>
      <c r="C229" t="s">
        <v>1402</v>
      </c>
      <c r="D229" t="s">
        <v>4</v>
      </c>
      <c r="E229" t="s">
        <v>104</v>
      </c>
      <c r="F229" t="s">
        <v>73</v>
      </c>
      <c r="G229" t="s">
        <v>4</v>
      </c>
      <c r="H229" t="s">
        <v>1167</v>
      </c>
    </row>
    <row r="230" spans="1:8" x14ac:dyDescent="0.2">
      <c r="A230">
        <v>812</v>
      </c>
      <c r="B230">
        <v>535</v>
      </c>
      <c r="C230" t="s">
        <v>1403</v>
      </c>
      <c r="D230" t="s">
        <v>4</v>
      </c>
      <c r="E230" t="s">
        <v>104</v>
      </c>
      <c r="F230" t="s">
        <v>73</v>
      </c>
      <c r="G230" t="s">
        <v>4</v>
      </c>
      <c r="H230" t="s">
        <v>1167</v>
      </c>
    </row>
    <row r="231" spans="1:8" x14ac:dyDescent="0.2">
      <c r="A231">
        <v>812</v>
      </c>
      <c r="B231">
        <v>652</v>
      </c>
      <c r="C231" t="s">
        <v>1393</v>
      </c>
      <c r="D231" t="s">
        <v>4</v>
      </c>
      <c r="E231" t="s">
        <v>73</v>
      </c>
      <c r="F231" t="s">
        <v>73</v>
      </c>
      <c r="G231" t="s">
        <v>73</v>
      </c>
      <c r="H231" t="s">
        <v>73</v>
      </c>
    </row>
    <row r="232" spans="1:8" x14ac:dyDescent="0.2">
      <c r="A232">
        <v>812</v>
      </c>
      <c r="B232">
        <v>714</v>
      </c>
      <c r="C232" t="s">
        <v>1394</v>
      </c>
      <c r="D232" t="s">
        <v>4</v>
      </c>
      <c r="E232" t="s">
        <v>73</v>
      </c>
      <c r="F232" t="s">
        <v>73</v>
      </c>
      <c r="G232" t="s">
        <v>73</v>
      </c>
      <c r="H232" t="s">
        <v>73</v>
      </c>
    </row>
    <row r="233" spans="1:8" x14ac:dyDescent="0.2">
      <c r="A233">
        <v>812</v>
      </c>
      <c r="B233">
        <v>736</v>
      </c>
      <c r="C233" t="s">
        <v>1200</v>
      </c>
      <c r="D233" t="s">
        <v>4</v>
      </c>
      <c r="E233" t="s">
        <v>73</v>
      </c>
      <c r="F233" t="s">
        <v>73</v>
      </c>
      <c r="G233" t="s">
        <v>73</v>
      </c>
      <c r="H233" t="s">
        <v>1163</v>
      </c>
    </row>
    <row r="234" spans="1:8" x14ac:dyDescent="0.2">
      <c r="A234">
        <v>812</v>
      </c>
      <c r="B234">
        <v>983</v>
      </c>
      <c r="C234" t="s">
        <v>1395</v>
      </c>
      <c r="D234" t="s">
        <v>4</v>
      </c>
      <c r="E234" t="s">
        <v>73</v>
      </c>
      <c r="F234" t="s">
        <v>73</v>
      </c>
      <c r="G234" t="s">
        <v>73</v>
      </c>
      <c r="H234" t="s">
        <v>1199</v>
      </c>
    </row>
    <row r="235" spans="1:8" x14ac:dyDescent="0.2">
      <c r="A235">
        <v>812</v>
      </c>
      <c r="B235">
        <v>1158</v>
      </c>
      <c r="C235" t="s">
        <v>1396</v>
      </c>
      <c r="D235" t="s">
        <v>4</v>
      </c>
      <c r="E235" t="s">
        <v>73</v>
      </c>
      <c r="F235" t="s">
        <v>73</v>
      </c>
      <c r="G235" t="s">
        <v>73</v>
      </c>
      <c r="H235" t="s">
        <v>1196</v>
      </c>
    </row>
    <row r="236" spans="1:8" x14ac:dyDescent="0.2">
      <c r="A236">
        <v>812</v>
      </c>
      <c r="B236">
        <v>1669</v>
      </c>
      <c r="C236" t="s">
        <v>1397</v>
      </c>
      <c r="D236" t="s">
        <v>4</v>
      </c>
      <c r="E236" t="s">
        <v>73</v>
      </c>
      <c r="F236" t="s">
        <v>73</v>
      </c>
      <c r="G236" t="s">
        <v>73</v>
      </c>
      <c r="H236" t="s">
        <v>73</v>
      </c>
    </row>
    <row r="237" spans="1:8" x14ac:dyDescent="0.2">
      <c r="A237">
        <v>812</v>
      </c>
      <c r="B237">
        <v>1937</v>
      </c>
      <c r="C237" t="s">
        <v>1398</v>
      </c>
      <c r="D237" t="s">
        <v>4</v>
      </c>
      <c r="E237" t="s">
        <v>73</v>
      </c>
      <c r="F237" t="s">
        <v>73</v>
      </c>
      <c r="G237" t="s">
        <v>73</v>
      </c>
      <c r="H237" t="s">
        <v>73</v>
      </c>
    </row>
    <row r="238" spans="1:8" x14ac:dyDescent="0.2">
      <c r="A238">
        <v>812</v>
      </c>
      <c r="B238">
        <v>2296</v>
      </c>
      <c r="C238" t="s">
        <v>1349</v>
      </c>
      <c r="D238" t="s">
        <v>4</v>
      </c>
      <c r="E238" t="s">
        <v>73</v>
      </c>
      <c r="F238" t="s">
        <v>73</v>
      </c>
      <c r="G238" t="s">
        <v>73</v>
      </c>
      <c r="H238" t="s">
        <v>1163</v>
      </c>
    </row>
    <row r="239" spans="1:8" x14ac:dyDescent="0.2">
      <c r="A239">
        <v>813</v>
      </c>
      <c r="B239">
        <v>280</v>
      </c>
      <c r="C239" t="s">
        <v>1404</v>
      </c>
      <c r="D239" t="s">
        <v>3</v>
      </c>
      <c r="E239" t="s">
        <v>73</v>
      </c>
      <c r="F239" t="s">
        <v>73</v>
      </c>
      <c r="G239" t="s">
        <v>73</v>
      </c>
      <c r="H239" t="s">
        <v>73</v>
      </c>
    </row>
    <row r="240" spans="1:8" x14ac:dyDescent="0.2">
      <c r="A240">
        <v>813</v>
      </c>
      <c r="B240">
        <v>311</v>
      </c>
      <c r="C240" t="s">
        <v>1405</v>
      </c>
      <c r="D240" t="s">
        <v>3</v>
      </c>
      <c r="E240" t="s">
        <v>73</v>
      </c>
      <c r="F240" t="s">
        <v>1406</v>
      </c>
      <c r="G240" t="s">
        <v>3</v>
      </c>
      <c r="H240" t="s">
        <v>1163</v>
      </c>
    </row>
    <row r="241" spans="1:8" x14ac:dyDescent="0.2">
      <c r="A241">
        <v>813</v>
      </c>
      <c r="B241">
        <v>845</v>
      </c>
      <c r="C241" t="s">
        <v>1407</v>
      </c>
      <c r="D241" t="s">
        <v>3</v>
      </c>
      <c r="E241" t="s">
        <v>104</v>
      </c>
      <c r="F241" t="s">
        <v>73</v>
      </c>
      <c r="G241" t="s">
        <v>3</v>
      </c>
      <c r="H241" t="s">
        <v>1163</v>
      </c>
    </row>
    <row r="242" spans="1:8" x14ac:dyDescent="0.2">
      <c r="A242">
        <v>813</v>
      </c>
      <c r="B242">
        <v>1002</v>
      </c>
      <c r="C242" t="s">
        <v>1408</v>
      </c>
      <c r="D242" t="s">
        <v>3</v>
      </c>
      <c r="E242" t="s">
        <v>73</v>
      </c>
      <c r="F242" t="s">
        <v>73</v>
      </c>
      <c r="G242" t="s">
        <v>73</v>
      </c>
      <c r="H242" t="s">
        <v>73</v>
      </c>
    </row>
    <row r="243" spans="1:8" x14ac:dyDescent="0.2">
      <c r="A243">
        <v>813</v>
      </c>
      <c r="B243">
        <v>1194</v>
      </c>
      <c r="C243" t="s">
        <v>1409</v>
      </c>
      <c r="D243" t="s">
        <v>3</v>
      </c>
      <c r="E243" t="s">
        <v>73</v>
      </c>
      <c r="F243" t="s">
        <v>73</v>
      </c>
      <c r="G243" t="s">
        <v>73</v>
      </c>
      <c r="H243" t="s">
        <v>1199</v>
      </c>
    </row>
    <row r="244" spans="1:8" x14ac:dyDescent="0.2">
      <c r="A244">
        <v>813</v>
      </c>
      <c r="B244">
        <v>1266</v>
      </c>
      <c r="C244" t="s">
        <v>1410</v>
      </c>
      <c r="D244" t="s">
        <v>3</v>
      </c>
      <c r="E244" t="s">
        <v>73</v>
      </c>
      <c r="F244" t="s">
        <v>73</v>
      </c>
      <c r="G244" t="s">
        <v>73</v>
      </c>
      <c r="H244" t="s">
        <v>1199</v>
      </c>
    </row>
    <row r="245" spans="1:8" x14ac:dyDescent="0.2">
      <c r="A245">
        <v>818</v>
      </c>
      <c r="B245">
        <v>112</v>
      </c>
      <c r="C245" t="s">
        <v>1411</v>
      </c>
      <c r="D245" t="s">
        <v>4</v>
      </c>
      <c r="E245" t="s">
        <v>104</v>
      </c>
      <c r="F245" t="s">
        <v>1412</v>
      </c>
      <c r="G245" t="s">
        <v>4</v>
      </c>
      <c r="H245" t="s">
        <v>1199</v>
      </c>
    </row>
    <row r="246" spans="1:8" x14ac:dyDescent="0.2">
      <c r="A246">
        <v>818</v>
      </c>
      <c r="B246">
        <v>1553</v>
      </c>
      <c r="C246" t="s">
        <v>1413</v>
      </c>
      <c r="D246" t="s">
        <v>4</v>
      </c>
      <c r="E246" t="s">
        <v>104</v>
      </c>
      <c r="F246" t="s">
        <v>1414</v>
      </c>
      <c r="G246" t="s">
        <v>4</v>
      </c>
      <c r="H246" t="s">
        <v>1163</v>
      </c>
    </row>
    <row r="247" spans="1:8" x14ac:dyDescent="0.2">
      <c r="A247">
        <v>819</v>
      </c>
      <c r="B247">
        <v>217</v>
      </c>
      <c r="C247" t="s">
        <v>1246</v>
      </c>
      <c r="D247" t="s">
        <v>3</v>
      </c>
      <c r="E247" t="s">
        <v>104</v>
      </c>
      <c r="F247" t="s">
        <v>1247</v>
      </c>
      <c r="G247" t="s">
        <v>3</v>
      </c>
      <c r="H247" t="s">
        <v>1163</v>
      </c>
    </row>
    <row r="248" spans="1:8" x14ac:dyDescent="0.2">
      <c r="A248">
        <v>819</v>
      </c>
      <c r="B248">
        <v>333</v>
      </c>
      <c r="C248" t="s">
        <v>1415</v>
      </c>
      <c r="D248" t="s">
        <v>3</v>
      </c>
      <c r="E248" t="s">
        <v>92</v>
      </c>
      <c r="F248" t="s">
        <v>73</v>
      </c>
      <c r="G248" t="s">
        <v>73</v>
      </c>
      <c r="H248" t="s">
        <v>1163</v>
      </c>
    </row>
    <row r="249" spans="1:8" x14ac:dyDescent="0.2">
      <c r="A249">
        <v>819</v>
      </c>
      <c r="B249">
        <v>745</v>
      </c>
      <c r="C249" t="s">
        <v>1416</v>
      </c>
      <c r="D249" t="s">
        <v>3</v>
      </c>
      <c r="E249" t="s">
        <v>92</v>
      </c>
      <c r="F249" t="s">
        <v>73</v>
      </c>
      <c r="G249" t="s">
        <v>73</v>
      </c>
      <c r="H249" t="s">
        <v>1199</v>
      </c>
    </row>
    <row r="250" spans="1:8" x14ac:dyDescent="0.2">
      <c r="A250">
        <v>819</v>
      </c>
      <c r="B250">
        <v>880</v>
      </c>
      <c r="C250" t="s">
        <v>1417</v>
      </c>
      <c r="D250" t="s">
        <v>3</v>
      </c>
      <c r="E250" t="s">
        <v>92</v>
      </c>
      <c r="F250" t="s">
        <v>73</v>
      </c>
      <c r="G250" t="s">
        <v>73</v>
      </c>
      <c r="H250" t="s">
        <v>1163</v>
      </c>
    </row>
    <row r="251" spans="1:8" x14ac:dyDescent="0.2">
      <c r="A251">
        <v>819</v>
      </c>
      <c r="B251">
        <v>1143</v>
      </c>
      <c r="C251" t="s">
        <v>1272</v>
      </c>
      <c r="D251" t="s">
        <v>3</v>
      </c>
      <c r="E251" t="s">
        <v>92</v>
      </c>
      <c r="F251" t="s">
        <v>73</v>
      </c>
      <c r="G251" t="s">
        <v>73</v>
      </c>
      <c r="H251" t="s">
        <v>1163</v>
      </c>
    </row>
    <row r="252" spans="1:8" x14ac:dyDescent="0.2">
      <c r="A252">
        <v>819</v>
      </c>
      <c r="B252">
        <v>2418</v>
      </c>
      <c r="C252" t="s">
        <v>1418</v>
      </c>
      <c r="D252" t="s">
        <v>3</v>
      </c>
      <c r="E252" t="s">
        <v>104</v>
      </c>
      <c r="F252" t="s">
        <v>1419</v>
      </c>
      <c r="G252" t="s">
        <v>3</v>
      </c>
      <c r="H252" t="s">
        <v>1163</v>
      </c>
    </row>
    <row r="253" spans="1:8" x14ac:dyDescent="0.2">
      <c r="A253">
        <v>841</v>
      </c>
      <c r="B253">
        <v>42</v>
      </c>
      <c r="C253" t="s">
        <v>1420</v>
      </c>
      <c r="D253" t="s">
        <v>3</v>
      </c>
      <c r="E253" t="s">
        <v>104</v>
      </c>
      <c r="F253" t="s">
        <v>1421</v>
      </c>
      <c r="G253" t="s">
        <v>3</v>
      </c>
      <c r="H253" t="s">
        <v>1163</v>
      </c>
    </row>
    <row r="254" spans="1:8" x14ac:dyDescent="0.2">
      <c r="A254">
        <v>841</v>
      </c>
      <c r="B254">
        <v>716</v>
      </c>
      <c r="C254" t="s">
        <v>1422</v>
      </c>
      <c r="D254" t="s">
        <v>3</v>
      </c>
      <c r="E254" t="s">
        <v>104</v>
      </c>
      <c r="F254" t="s">
        <v>73</v>
      </c>
      <c r="G254" t="s">
        <v>3</v>
      </c>
      <c r="H254" t="s">
        <v>1163</v>
      </c>
    </row>
    <row r="255" spans="1:8" x14ac:dyDescent="0.2">
      <c r="A255">
        <v>841</v>
      </c>
      <c r="B255">
        <v>2236</v>
      </c>
      <c r="C255" t="s">
        <v>1423</v>
      </c>
      <c r="D255" t="s">
        <v>3</v>
      </c>
      <c r="E255" t="s">
        <v>104</v>
      </c>
      <c r="F255" t="s">
        <v>73</v>
      </c>
      <c r="G255" t="s">
        <v>73</v>
      </c>
      <c r="H255" t="s">
        <v>1163</v>
      </c>
    </row>
    <row r="256" spans="1:8" x14ac:dyDescent="0.2">
      <c r="A256">
        <v>841</v>
      </c>
      <c r="B256">
        <v>2241</v>
      </c>
      <c r="C256" t="s">
        <v>1424</v>
      </c>
      <c r="D256" t="s">
        <v>3</v>
      </c>
      <c r="E256" t="s">
        <v>92</v>
      </c>
      <c r="F256" t="s">
        <v>73</v>
      </c>
      <c r="G256" t="s">
        <v>73</v>
      </c>
      <c r="H256" t="s">
        <v>1163</v>
      </c>
    </row>
    <row r="257" spans="1:8" x14ac:dyDescent="0.2">
      <c r="A257">
        <v>853</v>
      </c>
      <c r="B257">
        <v>250</v>
      </c>
      <c r="C257" t="s">
        <v>1425</v>
      </c>
      <c r="D257" t="s">
        <v>3</v>
      </c>
      <c r="E257" t="s">
        <v>104</v>
      </c>
      <c r="F257" t="s">
        <v>1426</v>
      </c>
      <c r="G257" t="s">
        <v>3</v>
      </c>
      <c r="H257" t="s">
        <v>1163</v>
      </c>
    </row>
    <row r="258" spans="1:8" x14ac:dyDescent="0.2">
      <c r="A258">
        <v>854</v>
      </c>
      <c r="B258">
        <v>563</v>
      </c>
      <c r="C258" t="s">
        <v>1427</v>
      </c>
      <c r="D258" t="s">
        <v>5</v>
      </c>
      <c r="E258" t="s">
        <v>73</v>
      </c>
      <c r="F258" t="s">
        <v>73</v>
      </c>
      <c r="G258" t="s">
        <v>73</v>
      </c>
      <c r="H258" t="s">
        <v>73</v>
      </c>
    </row>
    <row r="259" spans="1:8" x14ac:dyDescent="0.2">
      <c r="A259">
        <v>854</v>
      </c>
      <c r="B259">
        <v>564</v>
      </c>
      <c r="C259" t="s">
        <v>1428</v>
      </c>
      <c r="D259" t="s">
        <v>5</v>
      </c>
      <c r="E259" t="s">
        <v>73</v>
      </c>
      <c r="F259" t="s">
        <v>73</v>
      </c>
      <c r="G259" t="s">
        <v>73</v>
      </c>
      <c r="H259" t="s">
        <v>73</v>
      </c>
    </row>
    <row r="260" spans="1:8" x14ac:dyDescent="0.2">
      <c r="A260">
        <v>854</v>
      </c>
      <c r="B260">
        <v>1107</v>
      </c>
      <c r="C260" t="s">
        <v>1220</v>
      </c>
      <c r="D260" t="s">
        <v>5</v>
      </c>
      <c r="E260" t="s">
        <v>104</v>
      </c>
      <c r="F260" t="s">
        <v>1221</v>
      </c>
      <c r="G260" t="s">
        <v>1222</v>
      </c>
      <c r="H260" t="s">
        <v>1199</v>
      </c>
    </row>
    <row r="261" spans="1:8" x14ac:dyDescent="0.2">
      <c r="A261">
        <v>893</v>
      </c>
      <c r="B261">
        <v>717</v>
      </c>
      <c r="C261" t="s">
        <v>1422</v>
      </c>
      <c r="D261" t="s">
        <v>3</v>
      </c>
      <c r="E261" t="s">
        <v>104</v>
      </c>
      <c r="F261" t="s">
        <v>73</v>
      </c>
      <c r="G261" t="s">
        <v>3</v>
      </c>
      <c r="H261" t="s">
        <v>1163</v>
      </c>
    </row>
    <row r="262" spans="1:8" x14ac:dyDescent="0.2">
      <c r="A262">
        <v>895</v>
      </c>
      <c r="B262">
        <v>170</v>
      </c>
      <c r="C262" t="s">
        <v>1429</v>
      </c>
      <c r="D262" t="s">
        <v>3</v>
      </c>
      <c r="E262" t="s">
        <v>92</v>
      </c>
      <c r="F262" t="s">
        <v>73</v>
      </c>
      <c r="G262" t="s">
        <v>73</v>
      </c>
      <c r="H262" t="s">
        <v>1163</v>
      </c>
    </row>
    <row r="263" spans="1:8" x14ac:dyDescent="0.2">
      <c r="A263">
        <v>895</v>
      </c>
      <c r="B263">
        <v>313</v>
      </c>
      <c r="C263" t="s">
        <v>1405</v>
      </c>
      <c r="D263" t="s">
        <v>3</v>
      </c>
      <c r="E263" t="s">
        <v>104</v>
      </c>
      <c r="F263" t="s">
        <v>1406</v>
      </c>
      <c r="G263" t="s">
        <v>3</v>
      </c>
      <c r="H263" t="s">
        <v>1163</v>
      </c>
    </row>
    <row r="264" spans="1:8" x14ac:dyDescent="0.2">
      <c r="A264">
        <v>895</v>
      </c>
      <c r="B264">
        <v>1305</v>
      </c>
      <c r="C264" t="s">
        <v>1430</v>
      </c>
      <c r="D264" t="s">
        <v>3</v>
      </c>
      <c r="E264" t="s">
        <v>92</v>
      </c>
      <c r="F264" t="s">
        <v>73</v>
      </c>
      <c r="G264" t="s">
        <v>73</v>
      </c>
      <c r="H264" t="s">
        <v>1276</v>
      </c>
    </row>
    <row r="265" spans="1:8" x14ac:dyDescent="0.2">
      <c r="A265">
        <v>895</v>
      </c>
      <c r="B265">
        <v>1567</v>
      </c>
      <c r="C265" t="s">
        <v>1431</v>
      </c>
      <c r="D265" t="s">
        <v>3</v>
      </c>
      <c r="E265" t="s">
        <v>92</v>
      </c>
      <c r="F265" t="s">
        <v>73</v>
      </c>
      <c r="G265" t="s">
        <v>73</v>
      </c>
      <c r="H265" t="s">
        <v>1276</v>
      </c>
    </row>
    <row r="266" spans="1:8" x14ac:dyDescent="0.2">
      <c r="A266">
        <v>896</v>
      </c>
      <c r="B266">
        <v>169</v>
      </c>
      <c r="C266" t="s">
        <v>1429</v>
      </c>
      <c r="D266" t="s">
        <v>3</v>
      </c>
      <c r="E266" t="s">
        <v>92</v>
      </c>
      <c r="F266" t="s">
        <v>73</v>
      </c>
      <c r="G266" t="s">
        <v>73</v>
      </c>
      <c r="H266" t="s">
        <v>1163</v>
      </c>
    </row>
    <row r="267" spans="1:8" x14ac:dyDescent="0.2">
      <c r="A267">
        <v>896</v>
      </c>
      <c r="B267">
        <v>314</v>
      </c>
      <c r="C267" t="s">
        <v>1405</v>
      </c>
      <c r="D267" t="s">
        <v>3</v>
      </c>
      <c r="E267" t="s">
        <v>104</v>
      </c>
      <c r="F267" t="s">
        <v>1406</v>
      </c>
      <c r="G267" t="s">
        <v>3</v>
      </c>
      <c r="H267" t="s">
        <v>1163</v>
      </c>
    </row>
    <row r="268" spans="1:8" x14ac:dyDescent="0.2">
      <c r="A268">
        <v>896</v>
      </c>
      <c r="B268">
        <v>1094</v>
      </c>
      <c r="C268" t="s">
        <v>1432</v>
      </c>
      <c r="D268" t="s">
        <v>3</v>
      </c>
      <c r="E268" t="s">
        <v>104</v>
      </c>
      <c r="F268" t="s">
        <v>73</v>
      </c>
      <c r="G268" t="s">
        <v>3</v>
      </c>
      <c r="H268" t="s">
        <v>1276</v>
      </c>
    </row>
    <row r="269" spans="1:8" x14ac:dyDescent="0.2">
      <c r="A269">
        <v>896</v>
      </c>
      <c r="B269">
        <v>1306</v>
      </c>
      <c r="C269" t="s">
        <v>1430</v>
      </c>
      <c r="D269" t="s">
        <v>3</v>
      </c>
      <c r="E269" t="s">
        <v>104</v>
      </c>
      <c r="F269" t="s">
        <v>73</v>
      </c>
      <c r="G269" t="s">
        <v>3</v>
      </c>
      <c r="H269" t="s">
        <v>1276</v>
      </c>
    </row>
    <row r="270" spans="1:8" x14ac:dyDescent="0.2">
      <c r="A270">
        <v>901</v>
      </c>
      <c r="B270">
        <v>172</v>
      </c>
      <c r="C270" t="s">
        <v>1433</v>
      </c>
      <c r="D270" t="s">
        <v>3</v>
      </c>
      <c r="E270" t="s">
        <v>104</v>
      </c>
      <c r="F270" t="s">
        <v>73</v>
      </c>
      <c r="G270" t="s">
        <v>1434</v>
      </c>
      <c r="H270" t="s">
        <v>1163</v>
      </c>
    </row>
    <row r="271" spans="1:8" x14ac:dyDescent="0.2">
      <c r="A271">
        <v>901</v>
      </c>
      <c r="B271">
        <v>753</v>
      </c>
      <c r="C271" t="s">
        <v>1172</v>
      </c>
      <c r="D271" t="s">
        <v>3</v>
      </c>
      <c r="E271" t="s">
        <v>92</v>
      </c>
      <c r="F271" t="s">
        <v>73</v>
      </c>
      <c r="G271" t="s">
        <v>73</v>
      </c>
      <c r="H271" t="s">
        <v>1163</v>
      </c>
    </row>
    <row r="272" spans="1:8" x14ac:dyDescent="0.2">
      <c r="A272">
        <v>901</v>
      </c>
      <c r="B272">
        <v>1362</v>
      </c>
      <c r="C272" t="s">
        <v>1435</v>
      </c>
      <c r="D272" t="s">
        <v>3</v>
      </c>
      <c r="E272" t="s">
        <v>92</v>
      </c>
      <c r="F272" t="s">
        <v>73</v>
      </c>
      <c r="G272" t="s">
        <v>73</v>
      </c>
      <c r="H272" t="s">
        <v>1163</v>
      </c>
    </row>
    <row r="273" spans="1:8" x14ac:dyDescent="0.2">
      <c r="A273">
        <v>951</v>
      </c>
      <c r="B273">
        <v>127</v>
      </c>
      <c r="C273" t="s">
        <v>1204</v>
      </c>
      <c r="D273" t="s">
        <v>5</v>
      </c>
      <c r="E273" t="s">
        <v>104</v>
      </c>
      <c r="F273" t="s">
        <v>1205</v>
      </c>
      <c r="G273" t="s">
        <v>5</v>
      </c>
      <c r="H273" t="s">
        <v>1199</v>
      </c>
    </row>
    <row r="274" spans="1:8" x14ac:dyDescent="0.2">
      <c r="A274">
        <v>951</v>
      </c>
      <c r="B274">
        <v>192</v>
      </c>
      <c r="C274" t="s">
        <v>1436</v>
      </c>
      <c r="D274" t="s">
        <v>5</v>
      </c>
      <c r="E274" t="s">
        <v>92</v>
      </c>
      <c r="F274" t="s">
        <v>73</v>
      </c>
      <c r="G274" t="s">
        <v>73</v>
      </c>
      <c r="H274" t="s">
        <v>1276</v>
      </c>
    </row>
    <row r="276" spans="1:8" x14ac:dyDescent="0.2">
      <c r="A276" s="8" t="s">
        <v>1440</v>
      </c>
    </row>
    <row r="277" spans="1:8" x14ac:dyDescent="0.2">
      <c r="A277" t="s">
        <v>34</v>
      </c>
      <c r="B277" t="s">
        <v>1158</v>
      </c>
      <c r="C277" t="s">
        <v>1442</v>
      </c>
      <c r="D277" t="s">
        <v>1441</v>
      </c>
      <c r="E277" t="s">
        <v>104</v>
      </c>
      <c r="F277" s="11" t="s">
        <v>1444</v>
      </c>
      <c r="G277" t="s">
        <v>1441</v>
      </c>
      <c r="H277" t="s">
        <v>1163</v>
      </c>
    </row>
    <row r="278" spans="1:8" x14ac:dyDescent="0.2">
      <c r="A278" t="s">
        <v>34</v>
      </c>
      <c r="C278" t="s">
        <v>1443</v>
      </c>
      <c r="D278" t="s">
        <v>1441</v>
      </c>
      <c r="E278" t="s">
        <v>104</v>
      </c>
      <c r="F278" t="s">
        <v>1444</v>
      </c>
      <c r="G278" t="s">
        <v>1441</v>
      </c>
      <c r="H278" t="s">
        <v>1163</v>
      </c>
    </row>
    <row r="279" spans="1:8" x14ac:dyDescent="0.2">
      <c r="A279" t="s">
        <v>1487</v>
      </c>
      <c r="C279" t="s">
        <v>1488</v>
      </c>
      <c r="D279" t="s">
        <v>1441</v>
      </c>
      <c r="E279" t="s">
        <v>104</v>
      </c>
      <c r="G279" t="s">
        <v>1441</v>
      </c>
      <c r="H279" t="s">
        <v>1489</v>
      </c>
    </row>
    <row r="280" spans="1:8" x14ac:dyDescent="0.2">
      <c r="A280" t="s">
        <v>45</v>
      </c>
      <c r="C280" t="s">
        <v>1490</v>
      </c>
      <c r="D280" t="s">
        <v>4</v>
      </c>
      <c r="E280" t="s">
        <v>104</v>
      </c>
      <c r="G280" t="s">
        <v>4</v>
      </c>
      <c r="H280" t="s">
        <v>1167</v>
      </c>
    </row>
    <row r="281" spans="1:8" x14ac:dyDescent="0.2">
      <c r="A281" t="s">
        <v>45</v>
      </c>
      <c r="C281" t="s">
        <v>1491</v>
      </c>
      <c r="D281" t="s">
        <v>4</v>
      </c>
      <c r="E281" t="s">
        <v>104</v>
      </c>
      <c r="G281" t="s">
        <v>4</v>
      </c>
      <c r="H281" t="s">
        <v>1163</v>
      </c>
    </row>
    <row r="282" spans="1:8" x14ac:dyDescent="0.2">
      <c r="A282" t="s">
        <v>45</v>
      </c>
      <c r="C282" t="s">
        <v>1492</v>
      </c>
      <c r="D282" t="s">
        <v>4</v>
      </c>
      <c r="E282" t="s">
        <v>104</v>
      </c>
      <c r="G282" t="s">
        <v>4</v>
      </c>
      <c r="H282" t="s">
        <v>1163</v>
      </c>
    </row>
    <row r="283" spans="1:8" x14ac:dyDescent="0.2">
      <c r="A283" t="s">
        <v>1510</v>
      </c>
      <c r="C283" s="13" t="s">
        <v>1511</v>
      </c>
      <c r="D283" t="s">
        <v>1509</v>
      </c>
      <c r="E283" t="s">
        <v>104</v>
      </c>
      <c r="G283" t="s">
        <v>5</v>
      </c>
      <c r="H283" t="s">
        <v>1163</v>
      </c>
    </row>
    <row r="284" spans="1:8" x14ac:dyDescent="0.2">
      <c r="A284" t="s">
        <v>53</v>
      </c>
      <c r="C284" s="13" t="s">
        <v>1532</v>
      </c>
      <c r="D284" t="s">
        <v>7</v>
      </c>
      <c r="E284" t="s">
        <v>104</v>
      </c>
      <c r="G284" t="s">
        <v>7</v>
      </c>
      <c r="H284" t="s">
        <v>1489</v>
      </c>
    </row>
  </sheetData>
  <hyperlinks>
    <hyperlink ref="F277" r:id="rId1" xr:uid="{91C01736-D2F2-9448-9618-E03040FBE3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IDRECCO and VCS Indices</vt:lpstr>
      <vt:lpstr>IDRECCO Names</vt:lpstr>
      <vt:lpstr>Forest Loss Data - Tang et al.</vt:lpstr>
      <vt:lpstr>ID-RECCO Information</vt:lpstr>
      <vt:lpstr>VCS Methodology</vt:lpstr>
      <vt:lpstr>Partner information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Kassinis</dc:creator>
  <cp:lastModifiedBy>Alexandra Kassinis</cp:lastModifiedBy>
  <dcterms:created xsi:type="dcterms:W3CDTF">2026-01-28T16:30:14Z</dcterms:created>
  <dcterms:modified xsi:type="dcterms:W3CDTF">2026-07-09T22:06:53Z</dcterms:modified>
</cp:coreProperties>
</file>